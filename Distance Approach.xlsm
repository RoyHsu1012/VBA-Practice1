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e\Desktop\"/>
    </mc:Choice>
  </mc:AlternateContent>
  <bookViews>
    <workbookView xWindow="0" yWindow="0" windowWidth="10590" windowHeight="6090" activeTab="1"/>
  </bookViews>
  <sheets>
    <sheet name="配對形成期" sheetId="2" r:id="rId1"/>
    <sheet name="策略執行結果" sheetId="3" r:id="rId2"/>
    <sheet name="VBA input data" sheetId="1" r:id="rId3"/>
    <sheet name="VBA back testing" sheetId="4" r:id="rId4"/>
  </sheets>
  <definedNames>
    <definedName name="mean">'VBA back testing'!$I$4</definedName>
    <definedName name="name1">'VBA back testing'!$I$2</definedName>
    <definedName name="name2">'VBA back testing'!$I$3</definedName>
    <definedName name="stdev">'VBA back testing'!$I$5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2" i="3" l="1" a="1"/>
  <c r="L2" i="3"/>
  <c r="K3" i="3" a="1"/>
  <c r="K3" i="3"/>
  <c r="K4" i="3" a="1"/>
  <c r="K4" i="3" s="1"/>
  <c r="K5" i="3" a="1"/>
  <c r="K5" i="3" s="1"/>
  <c r="K6" i="3" a="1"/>
  <c r="K6" i="3" s="1"/>
  <c r="K7" i="3" a="1"/>
  <c r="K7" i="3"/>
  <c r="K8" i="3" a="1"/>
  <c r="K8" i="3" s="1"/>
  <c r="K9" i="3" a="1"/>
  <c r="K9" i="3" s="1"/>
  <c r="K10" i="3" a="1"/>
  <c r="K10" i="3" s="1"/>
  <c r="K11" i="3" a="1"/>
  <c r="K11" i="3"/>
  <c r="K12" i="3" a="1"/>
  <c r="K12" i="3" s="1"/>
  <c r="K13" i="3" a="1"/>
  <c r="K13" i="3" s="1"/>
  <c r="K14" i="3" a="1"/>
  <c r="K14" i="3" s="1"/>
  <c r="K15" i="3" a="1"/>
  <c r="K15" i="3" s="1"/>
  <c r="K16" i="3" a="1"/>
  <c r="K16" i="3" s="1"/>
  <c r="K17" i="3" a="1"/>
  <c r="K17" i="3" s="1"/>
  <c r="K18" i="3" a="1"/>
  <c r="K18" i="3" s="1"/>
  <c r="K19" i="3" a="1"/>
  <c r="K19" i="3" s="1"/>
  <c r="K20" i="3" a="1"/>
  <c r="K20" i="3" s="1"/>
  <c r="K21" i="3" a="1"/>
  <c r="K21" i="3" s="1"/>
  <c r="K22" i="3" a="1"/>
  <c r="K22" i="3" s="1"/>
  <c r="K23" i="3" a="1"/>
  <c r="K23" i="3" s="1"/>
  <c r="K24" i="3" a="1"/>
  <c r="K24" i="3" s="1"/>
  <c r="K25" i="3" a="1"/>
  <c r="K25" i="3" s="1"/>
  <c r="K26" i="3" a="1"/>
  <c r="K26" i="3" s="1"/>
  <c r="K27" i="3" a="1"/>
  <c r="K27" i="3" s="1"/>
  <c r="K28" i="3" a="1"/>
  <c r="K28" i="3" s="1"/>
  <c r="K29" i="3" a="1"/>
  <c r="K29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36" i="3" a="1"/>
  <c r="K36" i="3" s="1"/>
  <c r="K37" i="3" a="1"/>
  <c r="K37" i="3" s="1"/>
  <c r="K38" i="3" a="1"/>
  <c r="K38" i="3" s="1"/>
  <c r="K39" i="3" a="1"/>
  <c r="K39" i="3" s="1"/>
  <c r="K40" i="3" a="1"/>
  <c r="K40" i="3" s="1"/>
  <c r="K41" i="3" a="1"/>
  <c r="K41" i="3" s="1"/>
  <c r="K42" i="3" a="1"/>
  <c r="K42" i="3" s="1"/>
  <c r="K43" i="3" a="1"/>
  <c r="K43" i="3" s="1"/>
  <c r="K44" i="3" a="1"/>
  <c r="K44" i="3" s="1"/>
  <c r="K45" i="3" a="1"/>
  <c r="K45" i="3" s="1"/>
  <c r="K46" i="3" a="1"/>
  <c r="K46" i="3" s="1"/>
  <c r="K47" i="3" a="1"/>
  <c r="K47" i="3" s="1"/>
  <c r="K48" i="3" a="1"/>
  <c r="K48" i="3" s="1"/>
  <c r="K49" i="3" a="1"/>
  <c r="K49" i="3" s="1"/>
  <c r="K50" i="3" a="1"/>
  <c r="K50" i="3" s="1"/>
  <c r="K51" i="3" a="1"/>
  <c r="K51" i="3" s="1"/>
  <c r="K52" i="3" a="1"/>
  <c r="K52" i="3" s="1"/>
  <c r="K53" i="3" a="1"/>
  <c r="K53" i="3" s="1"/>
  <c r="K54" i="3" a="1"/>
  <c r="K54" i="3" s="1"/>
  <c r="K55" i="3" a="1"/>
  <c r="K55" i="3" s="1"/>
  <c r="K56" i="3" a="1"/>
  <c r="K56" i="3" s="1"/>
  <c r="K57" i="3" a="1"/>
  <c r="K57" i="3" s="1"/>
  <c r="K58" i="3" a="1"/>
  <c r="K58" i="3" s="1"/>
  <c r="K59" i="3" a="1"/>
  <c r="K59" i="3" s="1"/>
  <c r="K60" i="3" a="1"/>
  <c r="K60" i="3" s="1"/>
  <c r="K61" i="3" a="1"/>
  <c r="K61" i="3" s="1"/>
  <c r="K62" i="3" a="1"/>
  <c r="K62" i="3" s="1"/>
  <c r="K63" i="3" a="1"/>
  <c r="K63" i="3" s="1"/>
  <c r="K64" i="3" a="1"/>
  <c r="K64" i="3" s="1"/>
  <c r="K65" i="3" a="1"/>
  <c r="K65" i="3" s="1"/>
  <c r="K66" i="3" a="1"/>
  <c r="K66" i="3" s="1"/>
  <c r="K67" i="3" a="1"/>
  <c r="K67" i="3" s="1"/>
  <c r="K68" i="3" a="1"/>
  <c r="K68" i="3" s="1"/>
  <c r="K69" i="3" a="1"/>
  <c r="K69" i="3" s="1"/>
  <c r="K70" i="3" a="1"/>
  <c r="K70" i="3" s="1"/>
  <c r="K71" i="3" a="1"/>
  <c r="K71" i="3" s="1"/>
  <c r="K72" i="3" a="1"/>
  <c r="K72" i="3" s="1"/>
  <c r="K73" i="3" a="1"/>
  <c r="K73" i="3" s="1"/>
  <c r="K74" i="3" a="1"/>
  <c r="K74" i="3" s="1"/>
  <c r="K75" i="3" a="1"/>
  <c r="K75" i="3" s="1"/>
  <c r="K76" i="3" a="1"/>
  <c r="K76" i="3" s="1"/>
  <c r="K77" i="3" a="1"/>
  <c r="K77" i="3" s="1"/>
  <c r="K78" i="3" a="1"/>
  <c r="K78" i="3" s="1"/>
  <c r="K79" i="3" a="1"/>
  <c r="K79" i="3" s="1"/>
  <c r="K80" i="3" a="1"/>
  <c r="K80" i="3" s="1"/>
  <c r="K81" i="3" a="1"/>
  <c r="K81" i="3" s="1"/>
  <c r="K82" i="3" a="1"/>
  <c r="K82" i="3" s="1"/>
  <c r="K83" i="3" a="1"/>
  <c r="K83" i="3" s="1"/>
  <c r="K84" i="3" a="1"/>
  <c r="K84" i="3" s="1"/>
  <c r="K85" i="3" a="1"/>
  <c r="K85" i="3" s="1"/>
  <c r="K86" i="3" a="1"/>
  <c r="K86" i="3" s="1"/>
  <c r="K87" i="3" a="1"/>
  <c r="K87" i="3" s="1"/>
  <c r="K88" i="3" a="1"/>
  <c r="K88" i="3" s="1"/>
  <c r="K89" i="3" a="1"/>
  <c r="K89" i="3" s="1"/>
  <c r="K90" i="3" a="1"/>
  <c r="K90" i="3" s="1"/>
  <c r="K91" i="3" a="1"/>
  <c r="K91" i="3" s="1"/>
  <c r="K92" i="3" a="1"/>
  <c r="K92" i="3" s="1"/>
  <c r="K93" i="3" a="1"/>
  <c r="K93" i="3" s="1"/>
  <c r="K94" i="3" a="1"/>
  <c r="K94" i="3" s="1"/>
  <c r="K95" i="3" a="1"/>
  <c r="K95" i="3" s="1"/>
  <c r="K96" i="3" a="1"/>
  <c r="K96" i="3" s="1"/>
  <c r="K97" i="3" a="1"/>
  <c r="K97" i="3" s="1"/>
  <c r="K98" i="3" a="1"/>
  <c r="K98" i="3" s="1"/>
  <c r="K99" i="3" a="1"/>
  <c r="K99" i="3" s="1"/>
  <c r="K100" i="3" a="1"/>
  <c r="K100" i="3" s="1"/>
  <c r="K101" i="3" a="1"/>
  <c r="K101" i="3" s="1"/>
  <c r="K102" i="3" a="1"/>
  <c r="K102" i="3" s="1"/>
  <c r="K103" i="3" a="1"/>
  <c r="K103" i="3" s="1"/>
  <c r="K104" i="3" a="1"/>
  <c r="K104" i="3" s="1"/>
  <c r="K105" i="3" a="1"/>
  <c r="K105" i="3" s="1"/>
  <c r="K106" i="3" a="1"/>
  <c r="K106" i="3" s="1"/>
  <c r="K107" i="3" a="1"/>
  <c r="K107" i="3" s="1"/>
  <c r="K108" i="3" a="1"/>
  <c r="K108" i="3" s="1"/>
  <c r="K109" i="3" a="1"/>
  <c r="K109" i="3" s="1"/>
  <c r="K110" i="3" a="1"/>
  <c r="K110" i="3" s="1"/>
  <c r="K111" i="3" a="1"/>
  <c r="K111" i="3" s="1"/>
  <c r="K112" i="3" a="1"/>
  <c r="K112" i="3" s="1"/>
  <c r="K113" i="3" a="1"/>
  <c r="K113" i="3" s="1"/>
  <c r="K114" i="3" a="1"/>
  <c r="K114" i="3" s="1"/>
  <c r="K115" i="3" a="1"/>
  <c r="K115" i="3" s="1"/>
  <c r="K116" i="3" a="1"/>
  <c r="K116" i="3" s="1"/>
  <c r="K117" i="3" a="1"/>
  <c r="K117" i="3" s="1"/>
  <c r="K118" i="3" a="1"/>
  <c r="K118" i="3" s="1"/>
  <c r="K119" i="3" a="1"/>
  <c r="K119" i="3" s="1"/>
  <c r="K120" i="3" a="1"/>
  <c r="K120" i="3" s="1"/>
  <c r="K121" i="3" a="1"/>
  <c r="K121" i="3" s="1"/>
  <c r="K122" i="3" a="1"/>
  <c r="K122" i="3" s="1"/>
  <c r="K123" i="3" a="1"/>
  <c r="K123" i="3" s="1"/>
  <c r="K124" i="3" a="1"/>
  <c r="K124" i="3" s="1"/>
  <c r="K125" i="3" a="1"/>
  <c r="K125" i="3" s="1"/>
  <c r="K126" i="3" a="1"/>
  <c r="K126" i="3" s="1"/>
  <c r="K127" i="3" a="1"/>
  <c r="K127" i="3" s="1"/>
  <c r="K128" i="3" a="1"/>
  <c r="K128" i="3" s="1"/>
  <c r="K129" i="3" a="1"/>
  <c r="K129" i="3" s="1"/>
  <c r="K130" i="3" a="1"/>
  <c r="K130" i="3" s="1"/>
  <c r="K131" i="3" a="1"/>
  <c r="K131" i="3" s="1"/>
  <c r="K132" i="3" a="1"/>
  <c r="K132" i="3" s="1"/>
  <c r="K133" i="3" a="1"/>
  <c r="K133" i="3" s="1"/>
  <c r="K134" i="3" a="1"/>
  <c r="K134" i="3" s="1"/>
  <c r="K135" i="3" a="1"/>
  <c r="K135" i="3" s="1"/>
  <c r="K136" i="3" a="1"/>
  <c r="K136" i="3" s="1"/>
  <c r="K137" i="3" a="1"/>
  <c r="K137" i="3" s="1"/>
  <c r="K138" i="3" a="1"/>
  <c r="K138" i="3" s="1"/>
  <c r="K139" i="3" a="1"/>
  <c r="K139" i="3" s="1"/>
  <c r="K140" i="3" a="1"/>
  <c r="K140" i="3" s="1"/>
  <c r="K141" i="3" a="1"/>
  <c r="K141" i="3" s="1"/>
  <c r="K142" i="3" a="1"/>
  <c r="K142" i="3" s="1"/>
  <c r="K143" i="3" a="1"/>
  <c r="K143" i="3" s="1"/>
  <c r="K144" i="3" a="1"/>
  <c r="K144" i="3" s="1"/>
  <c r="K145" i="3" a="1"/>
  <c r="K145" i="3" s="1"/>
  <c r="K146" i="3" a="1"/>
  <c r="K146" i="3" s="1"/>
  <c r="K147" i="3" a="1"/>
  <c r="K147" i="3" s="1"/>
  <c r="K148" i="3" a="1"/>
  <c r="K148" i="3" s="1"/>
  <c r="K149" i="3" a="1"/>
  <c r="K149" i="3" s="1"/>
  <c r="K150" i="3" a="1"/>
  <c r="K150" i="3" s="1"/>
  <c r="K151" i="3" a="1"/>
  <c r="K151" i="3" s="1"/>
  <c r="K152" i="3" a="1"/>
  <c r="K152" i="3" s="1"/>
  <c r="K153" i="3" a="1"/>
  <c r="K153" i="3" s="1"/>
  <c r="K154" i="3" a="1"/>
  <c r="K154" i="3" s="1"/>
  <c r="K155" i="3" a="1"/>
  <c r="K155" i="3" s="1"/>
  <c r="K156" i="3" a="1"/>
  <c r="K156" i="3" s="1"/>
  <c r="K157" i="3" a="1"/>
  <c r="K157" i="3" s="1"/>
  <c r="K158" i="3" a="1"/>
  <c r="K158" i="3" s="1"/>
  <c r="K159" i="3" a="1"/>
  <c r="K159" i="3" s="1"/>
  <c r="K160" i="3" a="1"/>
  <c r="K160" i="3" s="1"/>
  <c r="K161" i="3" a="1"/>
  <c r="K161" i="3" s="1"/>
  <c r="K162" i="3" a="1"/>
  <c r="K162" i="3" s="1"/>
  <c r="K163" i="3" a="1"/>
  <c r="K163" i="3" s="1"/>
  <c r="K164" i="3" a="1"/>
  <c r="K164" i="3" s="1"/>
  <c r="K165" i="3" a="1"/>
  <c r="K165" i="3" s="1"/>
  <c r="K166" i="3" a="1"/>
  <c r="K166" i="3" s="1"/>
  <c r="K167" i="3" a="1"/>
  <c r="K167" i="3" s="1"/>
  <c r="K168" i="3" a="1"/>
  <c r="K168" i="3" s="1"/>
  <c r="K169" i="3" a="1"/>
  <c r="K169" i="3" s="1"/>
  <c r="K170" i="3" a="1"/>
  <c r="K170" i="3" s="1"/>
  <c r="K171" i="3" a="1"/>
  <c r="K171" i="3" s="1"/>
  <c r="K172" i="3" a="1"/>
  <c r="K172" i="3" s="1"/>
  <c r="K173" i="3" a="1"/>
  <c r="K173" i="3" s="1"/>
  <c r="K174" i="3" a="1"/>
  <c r="K174" i="3" s="1"/>
  <c r="K175" i="3" a="1"/>
  <c r="K175" i="3" s="1"/>
  <c r="K176" i="3" a="1"/>
  <c r="K176" i="3" s="1"/>
  <c r="K177" i="3" a="1"/>
  <c r="K177" i="3" s="1"/>
  <c r="K178" i="3" a="1"/>
  <c r="K178" i="3" s="1"/>
  <c r="K179" i="3" a="1"/>
  <c r="K179" i="3" s="1"/>
  <c r="K180" i="3" a="1"/>
  <c r="K180" i="3" s="1"/>
  <c r="K181" i="3" a="1"/>
  <c r="K181" i="3" s="1"/>
  <c r="K182" i="3" a="1"/>
  <c r="K182" i="3" s="1"/>
  <c r="K183" i="3" a="1"/>
  <c r="K183" i="3" s="1"/>
  <c r="K184" i="3" a="1"/>
  <c r="K184" i="3" s="1"/>
  <c r="K185" i="3" a="1"/>
  <c r="K185" i="3" s="1"/>
  <c r="K186" i="3" a="1"/>
  <c r="K186" i="3" s="1"/>
  <c r="K187" i="3" a="1"/>
  <c r="K187" i="3" s="1"/>
  <c r="K188" i="3" a="1"/>
  <c r="K188" i="3" s="1"/>
  <c r="K189" i="3" a="1"/>
  <c r="K189" i="3" s="1"/>
  <c r="K190" i="3" a="1"/>
  <c r="K190" i="3" s="1"/>
  <c r="K191" i="3" a="1"/>
  <c r="K191" i="3" s="1"/>
  <c r="K192" i="3" a="1"/>
  <c r="K192" i="3" s="1"/>
  <c r="K193" i="3" a="1"/>
  <c r="K193" i="3" s="1"/>
  <c r="K194" i="3" a="1"/>
  <c r="K194" i="3" s="1"/>
  <c r="K195" i="3" a="1"/>
  <c r="K195" i="3" s="1"/>
  <c r="K196" i="3" a="1"/>
  <c r="K196" i="3" s="1"/>
  <c r="K197" i="3" a="1"/>
  <c r="K197" i="3" s="1"/>
  <c r="K198" i="3" a="1"/>
  <c r="K198" i="3" s="1"/>
  <c r="K199" i="3" a="1"/>
  <c r="K199" i="3" s="1"/>
  <c r="K200" i="3" a="1"/>
  <c r="K200" i="3" s="1"/>
  <c r="K201" i="3" a="1"/>
  <c r="K201" i="3" s="1"/>
  <c r="K202" i="3" a="1"/>
  <c r="K202" i="3" s="1"/>
  <c r="K203" i="3" a="1"/>
  <c r="K203" i="3" s="1"/>
  <c r="K204" i="3" a="1"/>
  <c r="K204" i="3" s="1"/>
  <c r="K205" i="3" a="1"/>
  <c r="K205" i="3" s="1"/>
  <c r="K206" i="3" a="1"/>
  <c r="K206" i="3" s="1"/>
  <c r="K207" i="3" a="1"/>
  <c r="K207" i="3" s="1"/>
  <c r="K208" i="3" a="1"/>
  <c r="K208" i="3" s="1"/>
  <c r="K209" i="3" a="1"/>
  <c r="K209" i="3" s="1"/>
  <c r="K210" i="3" a="1"/>
  <c r="K210" i="3" s="1"/>
  <c r="K211" i="3" a="1"/>
  <c r="K211" i="3" s="1"/>
  <c r="K212" i="3" a="1"/>
  <c r="K212" i="3" s="1"/>
  <c r="K213" i="3" a="1"/>
  <c r="K213" i="3" s="1"/>
  <c r="K214" i="3" a="1"/>
  <c r="K214" i="3" s="1"/>
  <c r="K215" i="3" a="1"/>
  <c r="K215" i="3" s="1"/>
  <c r="K216" i="3" a="1"/>
  <c r="K216" i="3" s="1"/>
  <c r="K217" i="3" a="1"/>
  <c r="K217" i="3" s="1"/>
  <c r="K218" i="3" a="1"/>
  <c r="K218" i="3" s="1"/>
  <c r="K219" i="3" a="1"/>
  <c r="K219" i="3" s="1"/>
  <c r="K220" i="3" a="1"/>
  <c r="K220" i="3" s="1"/>
  <c r="K221" i="3" a="1"/>
  <c r="K221" i="3" s="1"/>
  <c r="K222" i="3" a="1"/>
  <c r="K222" i="3" s="1"/>
  <c r="K223" i="3" a="1"/>
  <c r="K223" i="3" s="1"/>
  <c r="K224" i="3" a="1"/>
  <c r="K224" i="3" s="1"/>
  <c r="K225" i="3" a="1"/>
  <c r="K225" i="3" s="1"/>
  <c r="K226" i="3" a="1"/>
  <c r="K226" i="3" s="1"/>
  <c r="K227" i="3" a="1"/>
  <c r="K227" i="3" s="1"/>
  <c r="K228" i="3" a="1"/>
  <c r="K228" i="3" s="1"/>
  <c r="K229" i="3" a="1"/>
  <c r="K229" i="3" s="1"/>
  <c r="K230" i="3" a="1"/>
  <c r="K230" i="3" s="1"/>
  <c r="K231" i="3" a="1"/>
  <c r="K231" i="3" s="1"/>
  <c r="K232" i="3" a="1"/>
  <c r="K232" i="3" s="1"/>
  <c r="K233" i="3" a="1"/>
  <c r="K233" i="3" s="1"/>
  <c r="K234" i="3" a="1"/>
  <c r="K234" i="3" s="1"/>
  <c r="K235" i="3" a="1"/>
  <c r="K235" i="3" s="1"/>
  <c r="K236" i="3" a="1"/>
  <c r="K236" i="3" s="1"/>
  <c r="K237" i="3" a="1"/>
  <c r="K237" i="3" s="1"/>
  <c r="K238" i="3" a="1"/>
  <c r="K238" i="3" s="1"/>
  <c r="K239" i="3" a="1"/>
  <c r="K239" i="3" s="1"/>
  <c r="K240" i="3" a="1"/>
  <c r="K240" i="3" s="1"/>
  <c r="K241" i="3" a="1"/>
  <c r="K241" i="3" s="1"/>
  <c r="K242" i="3" a="1"/>
  <c r="K242" i="3" s="1"/>
  <c r="K243" i="3" a="1"/>
  <c r="K243" i="3" s="1"/>
  <c r="K244" i="3" a="1"/>
  <c r="K244" i="3" s="1"/>
  <c r="K245" i="3" a="1"/>
  <c r="K245" i="3" s="1"/>
  <c r="K246" i="3" a="1"/>
  <c r="K246" i="3" s="1"/>
  <c r="K247" i="3" a="1"/>
  <c r="K247" i="3" s="1"/>
  <c r="K248" i="3" a="1"/>
  <c r="K248" i="3" s="1"/>
  <c r="K249" i="3" a="1"/>
  <c r="K249" i="3" s="1"/>
  <c r="K250" i="3" a="1"/>
  <c r="K250" i="3" s="1"/>
  <c r="K251" i="3" a="1"/>
  <c r="K251" i="3" s="1"/>
  <c r="K252" i="3" a="1"/>
  <c r="K252" i="3" s="1"/>
  <c r="K253" i="3" a="1"/>
  <c r="K253" i="3" s="1"/>
  <c r="K254" i="3" a="1"/>
  <c r="K254" i="3" s="1"/>
  <c r="K255" i="3" a="1"/>
  <c r="K255" i="3" s="1"/>
  <c r="K2" i="3" a="1"/>
  <c r="K2" i="3" s="1"/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" i="3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 s="1"/>
  <c r="I69" i="3" s="1"/>
  <c r="I70" i="3" s="1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122" i="3" s="1"/>
  <c r="I123" i="3" s="1"/>
  <c r="I124" i="3" s="1"/>
  <c r="I125" i="3" s="1"/>
  <c r="I126" i="3" s="1"/>
  <c r="I127" i="3" s="1"/>
  <c r="I128" i="3" s="1"/>
  <c r="I129" i="3" s="1"/>
  <c r="I130" i="3" s="1"/>
  <c r="I131" i="3" s="1"/>
  <c r="I132" i="3" s="1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53" i="3" s="1"/>
  <c r="I154" i="3" s="1"/>
  <c r="I155" i="3" s="1"/>
  <c r="I156" i="3" s="1"/>
  <c r="I157" i="3" s="1"/>
  <c r="I158" i="3" s="1"/>
  <c r="I159" i="3" s="1"/>
  <c r="I160" i="3" s="1"/>
  <c r="I161" i="3" s="1"/>
  <c r="I162" i="3" s="1"/>
  <c r="I163" i="3" s="1"/>
  <c r="I164" i="3" s="1"/>
  <c r="I165" i="3" s="1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84" i="3" s="1"/>
  <c r="I185" i="3" s="1"/>
  <c r="I186" i="3" s="1"/>
  <c r="I187" i="3" s="1"/>
  <c r="I188" i="3" s="1"/>
  <c r="I189" i="3" s="1"/>
  <c r="I190" i="3" s="1"/>
  <c r="I191" i="3" s="1"/>
  <c r="I192" i="3" s="1"/>
  <c r="I193" i="3" s="1"/>
  <c r="I194" i="3" s="1"/>
  <c r="I195" i="3" s="1"/>
  <c r="I196" i="3" s="1"/>
  <c r="I197" i="3" s="1"/>
  <c r="I198" i="3" s="1"/>
  <c r="I199" i="3" s="1"/>
  <c r="I200" i="3" s="1"/>
  <c r="I201" i="3" s="1"/>
  <c r="I202" i="3" s="1"/>
  <c r="I203" i="3" s="1"/>
  <c r="I204" i="3" s="1"/>
  <c r="I205" i="3" s="1"/>
  <c r="I206" i="3" s="1"/>
  <c r="I207" i="3" s="1"/>
  <c r="I208" i="3" s="1"/>
  <c r="I209" i="3" s="1"/>
  <c r="I210" i="3" s="1"/>
  <c r="I211" i="3" s="1"/>
  <c r="I212" i="3" s="1"/>
  <c r="I213" i="3" s="1"/>
  <c r="I214" i="3" s="1"/>
  <c r="I215" i="3" s="1"/>
  <c r="I216" i="3" s="1"/>
  <c r="I217" i="3" s="1"/>
  <c r="I218" i="3" s="1"/>
  <c r="I219" i="3" s="1"/>
  <c r="I220" i="3" s="1"/>
  <c r="I221" i="3" s="1"/>
  <c r="I222" i="3" s="1"/>
  <c r="I223" i="3" s="1"/>
  <c r="I224" i="3" s="1"/>
  <c r="I225" i="3" s="1"/>
  <c r="I226" i="3" s="1"/>
  <c r="I227" i="3" s="1"/>
  <c r="I228" i="3" s="1"/>
  <c r="I229" i="3" s="1"/>
  <c r="I230" i="3" s="1"/>
  <c r="I231" i="3" s="1"/>
  <c r="I232" i="3" s="1"/>
  <c r="I233" i="3" s="1"/>
  <c r="I234" i="3" s="1"/>
  <c r="I235" i="3" s="1"/>
  <c r="I236" i="3" s="1"/>
  <c r="I237" i="3" s="1"/>
  <c r="I238" i="3" s="1"/>
  <c r="I239" i="3" s="1"/>
  <c r="I240" i="3" s="1"/>
  <c r="I241" i="3" s="1"/>
  <c r="I242" i="3" s="1"/>
  <c r="I243" i="3" s="1"/>
  <c r="I244" i="3" s="1"/>
  <c r="I245" i="3" s="1"/>
  <c r="I246" i="3" s="1"/>
  <c r="I247" i="3" s="1"/>
  <c r="I248" i="3" s="1"/>
  <c r="I249" i="3" s="1"/>
  <c r="I250" i="3" s="1"/>
  <c r="I251" i="3" s="1"/>
  <c r="I252" i="3" s="1"/>
  <c r="I253" i="3" s="1"/>
  <c r="I254" i="3" s="1"/>
  <c r="I255" i="3" s="1"/>
  <c r="I3" i="3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3" i="3"/>
  <c r="H4" i="3" a="1"/>
  <c r="H4" i="3" s="1"/>
  <c r="H5" i="3" a="1"/>
  <c r="H5" i="3" s="1"/>
  <c r="H6" i="3" a="1"/>
  <c r="H6" i="3" s="1"/>
  <c r="H7" i="3" a="1"/>
  <c r="H7" i="3" s="1"/>
  <c r="H8" i="3" a="1"/>
  <c r="H8" i="3" s="1"/>
  <c r="H9" i="3" a="1"/>
  <c r="H9" i="3" s="1"/>
  <c r="H10" i="3" a="1"/>
  <c r="H10" i="3" s="1"/>
  <c r="H11" i="3" a="1"/>
  <c r="H11" i="3" s="1"/>
  <c r="H12" i="3" a="1"/>
  <c r="H12" i="3" s="1"/>
  <c r="H13" i="3" a="1"/>
  <c r="H13" i="3" s="1"/>
  <c r="H14" i="3" a="1"/>
  <c r="H14" i="3" s="1"/>
  <c r="H15" i="3" a="1"/>
  <c r="H15" i="3" s="1"/>
  <c r="H16" i="3" a="1"/>
  <c r="H16" i="3" s="1"/>
  <c r="H17" i="3" a="1"/>
  <c r="H17" i="3" s="1"/>
  <c r="H18" i="3" a="1"/>
  <c r="H18" i="3" s="1"/>
  <c r="H19" i="3" a="1"/>
  <c r="H19" i="3" s="1"/>
  <c r="H20" i="3" a="1"/>
  <c r="H20" i="3" s="1"/>
  <c r="H21" i="3" a="1"/>
  <c r="H21" i="3" s="1"/>
  <c r="H22" i="3" a="1"/>
  <c r="H22" i="3" s="1"/>
  <c r="H23" i="3" a="1"/>
  <c r="H23" i="3" s="1"/>
  <c r="H24" i="3" a="1"/>
  <c r="H24" i="3" s="1"/>
  <c r="H25" i="3" a="1"/>
  <c r="H25" i="3" s="1"/>
  <c r="H26" i="3" a="1"/>
  <c r="H26" i="3" s="1"/>
  <c r="H27" i="3" a="1"/>
  <c r="H27" i="3" s="1"/>
  <c r="H28" i="3" a="1"/>
  <c r="H28" i="3" s="1"/>
  <c r="H29" i="3" a="1"/>
  <c r="H29" i="3" s="1"/>
  <c r="H30" i="3" a="1"/>
  <c r="H30" i="3" s="1"/>
  <c r="H31" i="3" a="1"/>
  <c r="H31" i="3" s="1"/>
  <c r="H32" i="3" a="1"/>
  <c r="H32" i="3" s="1"/>
  <c r="H33" i="3" a="1"/>
  <c r="H33" i="3" s="1"/>
  <c r="H34" i="3" a="1"/>
  <c r="H34" i="3" s="1"/>
  <c r="H35" i="3" a="1"/>
  <c r="H35" i="3" s="1"/>
  <c r="H36" i="3" a="1"/>
  <c r="H36" i="3" s="1"/>
  <c r="H37" i="3" a="1"/>
  <c r="H37" i="3" s="1"/>
  <c r="H38" i="3" a="1"/>
  <c r="H38" i="3" s="1"/>
  <c r="H39" i="3" a="1"/>
  <c r="H39" i="3" s="1"/>
  <c r="H40" i="3" a="1"/>
  <c r="H40" i="3" s="1"/>
  <c r="H41" i="3" a="1"/>
  <c r="H41" i="3" s="1"/>
  <c r="H42" i="3" a="1"/>
  <c r="H42" i="3" s="1"/>
  <c r="H43" i="3" a="1"/>
  <c r="H43" i="3" s="1"/>
  <c r="H44" i="3" a="1"/>
  <c r="H44" i="3" s="1"/>
  <c r="H45" i="3" a="1"/>
  <c r="H45" i="3" s="1"/>
  <c r="H46" i="3" a="1"/>
  <c r="H46" i="3" s="1"/>
  <c r="H47" i="3" a="1"/>
  <c r="H47" i="3" s="1"/>
  <c r="H48" i="3" a="1"/>
  <c r="H48" i="3" s="1"/>
  <c r="H49" i="3" a="1"/>
  <c r="H49" i="3" s="1"/>
  <c r="H50" i="3" a="1"/>
  <c r="H50" i="3" s="1"/>
  <c r="H51" i="3" a="1"/>
  <c r="H51" i="3" s="1"/>
  <c r="H52" i="3" a="1"/>
  <c r="H52" i="3" s="1"/>
  <c r="H53" i="3" a="1"/>
  <c r="H53" i="3" s="1"/>
  <c r="H54" i="3" a="1"/>
  <c r="H54" i="3" s="1"/>
  <c r="H55" i="3" a="1"/>
  <c r="H55" i="3" s="1"/>
  <c r="H56" i="3" a="1"/>
  <c r="H56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65" i="3" a="1"/>
  <c r="H65" i="3" s="1"/>
  <c r="H66" i="3" a="1"/>
  <c r="H66" i="3" s="1"/>
  <c r="H67" i="3" a="1"/>
  <c r="H67" i="3" s="1"/>
  <c r="H68" i="3" a="1"/>
  <c r="H68" i="3" s="1"/>
  <c r="H69" i="3" a="1"/>
  <c r="H69" i="3" s="1"/>
  <c r="H70" i="3" a="1"/>
  <c r="H70" i="3" s="1"/>
  <c r="H71" i="3" a="1"/>
  <c r="H71" i="3" s="1"/>
  <c r="H72" i="3" a="1"/>
  <c r="H72" i="3" s="1"/>
  <c r="H73" i="3" a="1"/>
  <c r="H73" i="3" s="1"/>
  <c r="H74" i="3" a="1"/>
  <c r="H74" i="3" s="1"/>
  <c r="H75" i="3" a="1"/>
  <c r="H75" i="3" s="1"/>
  <c r="H76" i="3" a="1"/>
  <c r="H76" i="3" s="1"/>
  <c r="H77" i="3" a="1"/>
  <c r="H77" i="3" s="1"/>
  <c r="H78" i="3" a="1"/>
  <c r="H78" i="3" s="1"/>
  <c r="H79" i="3" a="1"/>
  <c r="H79" i="3" s="1"/>
  <c r="H80" i="3" a="1"/>
  <c r="H80" i="3" s="1"/>
  <c r="H81" i="3" a="1"/>
  <c r="H81" i="3" s="1"/>
  <c r="H82" i="3" a="1"/>
  <c r="H82" i="3" s="1"/>
  <c r="H83" i="3" a="1"/>
  <c r="H83" i="3" s="1"/>
  <c r="H84" i="3" a="1"/>
  <c r="H84" i="3" s="1"/>
  <c r="H85" i="3" a="1"/>
  <c r="H85" i="3" s="1"/>
  <c r="H86" i="3" a="1"/>
  <c r="H86" i="3" s="1"/>
  <c r="H87" i="3" a="1"/>
  <c r="H87" i="3" s="1"/>
  <c r="H88" i="3" a="1"/>
  <c r="H88" i="3" s="1"/>
  <c r="H89" i="3" a="1"/>
  <c r="H89" i="3" s="1"/>
  <c r="H90" i="3" a="1"/>
  <c r="H90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96" i="3" a="1"/>
  <c r="H96" i="3" s="1"/>
  <c r="H97" i="3" a="1"/>
  <c r="H97" i="3" s="1"/>
  <c r="H98" i="3" a="1"/>
  <c r="H98" i="3" s="1"/>
  <c r="H99" i="3" a="1"/>
  <c r="H99" i="3" s="1"/>
  <c r="H100" i="3" a="1"/>
  <c r="H100" i="3" s="1"/>
  <c r="H101" i="3" a="1"/>
  <c r="H101" i="3" s="1"/>
  <c r="H102" i="3" a="1"/>
  <c r="H102" i="3" s="1"/>
  <c r="H103" i="3" a="1"/>
  <c r="H103" i="3" s="1"/>
  <c r="H104" i="3" a="1"/>
  <c r="H104" i="3" s="1"/>
  <c r="H105" i="3" a="1"/>
  <c r="H105" i="3" s="1"/>
  <c r="H106" i="3" a="1"/>
  <c r="H106" i="3" s="1"/>
  <c r="H107" i="3" a="1"/>
  <c r="H107" i="3" s="1"/>
  <c r="H108" i="3" a="1"/>
  <c r="H108" i="3" s="1"/>
  <c r="H109" i="3" a="1"/>
  <c r="H109" i="3" s="1"/>
  <c r="H110" i="3" a="1"/>
  <c r="H110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23" i="3" a="1"/>
  <c r="H123" i="3" s="1"/>
  <c r="H124" i="3" a="1"/>
  <c r="H124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229" i="3" a="1"/>
  <c r="H229" i="3" s="1"/>
  <c r="H230" i="3" a="1"/>
  <c r="H230" i="3" s="1"/>
  <c r="H231" i="3" a="1"/>
  <c r="H231" i="3" s="1"/>
  <c r="H232" i="3" a="1"/>
  <c r="H232" i="3" s="1"/>
  <c r="H233" i="3" a="1"/>
  <c r="H233" i="3" s="1"/>
  <c r="H234" i="3" a="1"/>
  <c r="H234" i="3" s="1"/>
  <c r="H235" i="3" a="1"/>
  <c r="H235" i="3" s="1"/>
  <c r="H236" i="3" a="1"/>
  <c r="H236" i="3" s="1"/>
  <c r="H237" i="3" a="1"/>
  <c r="H237" i="3" s="1"/>
  <c r="H238" i="3" a="1"/>
  <c r="H238" i="3" s="1"/>
  <c r="H239" i="3" a="1"/>
  <c r="H239" i="3" s="1"/>
  <c r="H240" i="3" a="1"/>
  <c r="H240" i="3" s="1"/>
  <c r="H241" i="3" a="1"/>
  <c r="H241" i="3" s="1"/>
  <c r="H242" i="3" a="1"/>
  <c r="H242" i="3" s="1"/>
  <c r="H243" i="3" a="1"/>
  <c r="H243" i="3" s="1"/>
  <c r="H244" i="3" a="1"/>
  <c r="H244" i="3" s="1"/>
  <c r="H245" i="3" a="1"/>
  <c r="H245" i="3" s="1"/>
  <c r="H246" i="3" a="1"/>
  <c r="H246" i="3" s="1"/>
  <c r="H247" i="3" a="1"/>
  <c r="H247" i="3" s="1"/>
  <c r="H248" i="3" a="1"/>
  <c r="H248" i="3" s="1"/>
  <c r="H249" i="3" a="1"/>
  <c r="H249" i="3" s="1"/>
  <c r="H250" i="3" a="1"/>
  <c r="H250" i="3" s="1"/>
  <c r="H251" i="3" a="1"/>
  <c r="H251" i="3" s="1"/>
  <c r="H252" i="3" a="1"/>
  <c r="H252" i="3" s="1"/>
  <c r="H253" i="3" a="1"/>
  <c r="H253" i="3" s="1"/>
  <c r="H254" i="3" a="1"/>
  <c r="H254" i="3" s="1"/>
  <c r="H255" i="3" a="1"/>
  <c r="H255" i="3" s="1"/>
  <c r="H3" i="3" a="1"/>
  <c r="H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3" i="3"/>
  <c r="M6" i="2" a="1"/>
  <c r="M6" i="2" s="1"/>
  <c r="M5" i="2" a="1"/>
  <c r="M5" i="2" s="1"/>
  <c r="O2" i="2" a="1"/>
  <c r="O2" i="2" s="1"/>
  <c r="N2" i="2" a="1"/>
  <c r="N2" i="2" s="1"/>
  <c r="M2" i="2" a="1"/>
  <c r="M2" i="2" s="1"/>
  <c r="J4" i="2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3" i="2"/>
  <c r="G4" i="2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3" i="2"/>
  <c r="D4" i="2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3" i="2"/>
  <c r="I6" i="4" l="1"/>
</calcChain>
</file>

<file path=xl/sharedStrings.xml><?xml version="1.0" encoding="utf-8"?>
<sst xmlns="http://schemas.openxmlformats.org/spreadsheetml/2006/main" count="64" uniqueCount="56">
  <si>
    <t>Date</t>
  </si>
  <si>
    <t>AAPL</t>
    <phoneticPr fontId="1" type="noConversion"/>
  </si>
  <si>
    <t>IBM</t>
    <phoneticPr fontId="1" type="noConversion"/>
  </si>
  <si>
    <t>GE</t>
    <phoneticPr fontId="1" type="noConversion"/>
  </si>
  <si>
    <t>AAPL 標準化價格</t>
    <phoneticPr fontId="1" type="noConversion"/>
  </si>
  <si>
    <t>IBM 標準化價格</t>
    <phoneticPr fontId="1" type="noConversion"/>
  </si>
  <si>
    <t>GE 標準化價格</t>
    <phoneticPr fontId="1" type="noConversion"/>
  </si>
  <si>
    <t>AAPL - GE</t>
    <phoneticPr fontId="1" type="noConversion"/>
  </si>
  <si>
    <t>AAPL 報酬率</t>
    <phoneticPr fontId="1" type="noConversion"/>
  </si>
  <si>
    <t>IBM 報酬率</t>
    <phoneticPr fontId="1" type="noConversion"/>
  </si>
  <si>
    <t>GE 報酬率</t>
    <phoneticPr fontId="1" type="noConversion"/>
  </si>
  <si>
    <t>配對組合</t>
    <phoneticPr fontId="1" type="noConversion"/>
  </si>
  <si>
    <t>標準化價格差距</t>
    <phoneticPr fontId="1" type="noConversion"/>
  </si>
  <si>
    <t>AAPL - IBM</t>
    <phoneticPr fontId="1" type="noConversion"/>
  </si>
  <si>
    <t>IBM - GE</t>
    <phoneticPr fontId="1" type="noConversion"/>
  </si>
  <si>
    <t>最後組合</t>
    <phoneticPr fontId="1" type="noConversion"/>
  </si>
  <si>
    <t>(配對股票1)報酬率</t>
    <phoneticPr fontId="1" type="noConversion"/>
  </si>
  <si>
    <t>配對均數</t>
    <phoneticPr fontId="1" type="noConversion"/>
  </si>
  <si>
    <t>配對標準差</t>
    <phoneticPr fontId="1" type="noConversion"/>
  </si>
  <si>
    <t>(配對股票1)標準化價格</t>
    <phoneticPr fontId="1" type="noConversion"/>
  </si>
  <si>
    <t>(配對股票2)報酬率</t>
    <phoneticPr fontId="1" type="noConversion"/>
  </si>
  <si>
    <t>(配對股票2)標準化價格</t>
    <phoneticPr fontId="1" type="noConversion"/>
  </si>
  <si>
    <t>標準化價格差</t>
    <phoneticPr fontId="1" type="noConversion"/>
  </si>
  <si>
    <t>Date</t>
    <phoneticPr fontId="1" type="noConversion"/>
  </si>
  <si>
    <t>Stock 1 Price</t>
    <phoneticPr fontId="1" type="noConversion"/>
  </si>
  <si>
    <t>Stock 2 Price</t>
    <phoneticPr fontId="1" type="noConversion"/>
  </si>
  <si>
    <t>Gain Loss</t>
    <phoneticPr fontId="1" type="noConversion"/>
  </si>
  <si>
    <t>Pair State</t>
    <phoneticPr fontId="1" type="noConversion"/>
  </si>
  <si>
    <t>Pairs</t>
    <phoneticPr fontId="1" type="noConversion"/>
  </si>
  <si>
    <t>Stock 1</t>
    <phoneticPr fontId="1" type="noConversion"/>
  </si>
  <si>
    <t>Stock 2</t>
    <phoneticPr fontId="1" type="noConversion"/>
  </si>
  <si>
    <t>mean</t>
    <phoneticPr fontId="1" type="noConversion"/>
  </si>
  <si>
    <t>standard deviation</t>
    <phoneticPr fontId="1" type="noConversion"/>
  </si>
  <si>
    <t>Std Price diff</t>
    <phoneticPr fontId="1" type="noConversion"/>
  </si>
  <si>
    <t>Total Gain Loss</t>
    <phoneticPr fontId="1" type="noConversion"/>
  </si>
  <si>
    <t>X2311.TW.Adjusted</t>
  </si>
  <si>
    <t>X2545.TW.Adjusted</t>
  </si>
  <si>
    <t>X2303.TW.Adjusted</t>
  </si>
  <si>
    <t>X1201.TW.Adjusted</t>
  </si>
  <si>
    <t>X2002.TW.Adjusted</t>
  </si>
  <si>
    <t>X1802.TW.Adjusted</t>
  </si>
  <si>
    <t>X2603.TW.Adjusted</t>
  </si>
  <si>
    <t>X2511.TW.Adjusted</t>
  </si>
  <si>
    <t>X5522.TW.Adjusted</t>
  </si>
  <si>
    <t>X2881.TW.Adjusted</t>
  </si>
  <si>
    <t>X2890.TW.Adjusted</t>
  </si>
  <si>
    <t>X2883.TW.Adjusted</t>
  </si>
  <si>
    <t>X2885.TW.Adjusted</t>
  </si>
  <si>
    <t>X2892.TW.Adjusted</t>
  </si>
  <si>
    <t>X2471.TW.Adjusted</t>
  </si>
  <si>
    <t>Short stock 1, long stock 2</t>
  </si>
  <si>
    <t>Offset</t>
  </si>
  <si>
    <t>配對均數</t>
  </si>
  <si>
    <t>配對標準差</t>
  </si>
  <si>
    <t>Short A Long B 訊號</t>
    <phoneticPr fontId="1" type="noConversion"/>
  </si>
  <si>
    <t>Long A Short B 訊號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</si>
</sst>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176" fontId="0" fillId="0" borderId="0" xfId="0" applyNumberForma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176" fontId="0" fillId="0" borderId="2" xfId="0" applyNumberFormat="1" applyBorder="1" applyAlignment="1" applyProtection="1">
      <protection locked="0"/>
    </xf>
    <xf numFmtId="176" fontId="0" fillId="0" borderId="3" xfId="0" applyNumberFormat="1" applyBorder="1" applyAlignment="1" applyProtection="1">
      <protection locked="0"/>
    </xf>
    <xf numFmtId="176" fontId="0" fillId="0" borderId="4" xfId="0" applyNumberFormat="1" applyBorder="1" applyAlignment="1" applyProtection="1">
      <protection locked="0"/>
    </xf>
    <xf numFmtId="176" fontId="0" fillId="0" borderId="1" xfId="0" applyNumberFormat="1" applyBorder="1" applyAlignment="1" applyProtection="1">
      <protection locked="0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 applyAlignment="1" applyProtection="1">
      <protection locked="0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13" xfId="0" applyBorder="1" applyAlignment="1" applyProtection="1">
      <protection locked="0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3" xfId="0" applyBorder="1">
      <alignment vertical="center"/>
    </xf>
    <xf numFmtId="0" fontId="0" fillId="0" borderId="7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Fill="1" applyBorder="1">
      <alignment vertical="center"/>
    </xf>
    <xf numFmtId="176" fontId="0" fillId="0" borderId="7" xfId="0" applyNumberFormat="1" applyBorder="1" applyAlignment="1" applyProtection="1">
      <protection locked="0"/>
    </xf>
    <xf numFmtId="14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0" xfId="0" applyAlignment="1"/>
    <xf numFmtId="0" fontId="0" fillId="0" borderId="5" xfId="0" applyBorder="1" applyAlignment="1"/>
    <xf numFmtId="0" fontId="0" fillId="0" borderId="6" xfId="0" applyBorder="1" applyAlignment="1"/>
    <xf numFmtId="0" fontId="0" fillId="2" borderId="14" xfId="0" applyFill="1" applyBorder="1" applyAlignment="1"/>
    <xf numFmtId="0" fontId="0" fillId="2" borderId="15" xfId="0" applyFill="1" applyBorder="1" applyAlignment="1"/>
    <xf numFmtId="0" fontId="0" fillId="2" borderId="0" xfId="0" applyFill="1" applyBorder="1" applyAlignment="1"/>
    <xf numFmtId="0" fontId="0" fillId="2" borderId="9" xfId="0" applyFill="1" applyBorder="1" applyAlignment="1"/>
    <xf numFmtId="0" fontId="0" fillId="2" borderId="11" xfId="0" applyFill="1" applyBorder="1" applyAlignment="1"/>
    <xf numFmtId="0" fontId="0" fillId="2" borderId="12" xfId="0" applyFill="1" applyBorder="1" applyAlignment="1"/>
    <xf numFmtId="0" fontId="0" fillId="3" borderId="14" xfId="0" applyFill="1" applyBorder="1" applyAlignment="1"/>
    <xf numFmtId="0" fontId="0" fillId="3" borderId="15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12" xfId="0" applyFill="1" applyBorder="1" applyAlignment="1"/>
    <xf numFmtId="14" fontId="0" fillId="3" borderId="0" xfId="0" applyNumberFormat="1" applyFill="1" applyAlignment="1"/>
    <xf numFmtId="14" fontId="0" fillId="2" borderId="0" xfId="0" applyNumberFormat="1" applyFill="1" applyAlignment="1"/>
    <xf numFmtId="14" fontId="0" fillId="2" borderId="11" xfId="0" applyNumberFormat="1" applyFill="1" applyBorder="1" applyAlignment="1"/>
    <xf numFmtId="14" fontId="0" fillId="3" borderId="11" xfId="0" applyNumberFormat="1" applyFill="1" applyBorder="1" applyAlignment="1"/>
    <xf numFmtId="176" fontId="0" fillId="0" borderId="3" xfId="0" applyNumberFormat="1" applyFill="1" applyBorder="1" applyAlignment="1" applyProtection="1">
      <protection locked="0"/>
    </xf>
    <xf numFmtId="0" fontId="0" fillId="0" borderId="8" xfId="0" applyFill="1" applyBorder="1" applyAlignment="1" applyProtection="1">
      <protection locked="0"/>
    </xf>
    <xf numFmtId="0" fontId="0" fillId="0" borderId="3" xfId="0" applyFill="1" applyBorder="1">
      <alignment vertical="center"/>
    </xf>
    <xf numFmtId="0" fontId="0" fillId="0" borderId="9" xfId="0" applyFill="1" applyBorder="1">
      <alignment vertical="center"/>
    </xf>
    <xf numFmtId="0" fontId="0" fillId="0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O1411"/>
  <sheetViews>
    <sheetView topLeftCell="C1" workbookViewId="0">
      <selection activeCell="M5" sqref="M5"/>
    </sheetView>
  </sheetViews>
  <sheetFormatPr defaultColWidth="10.796875" defaultRowHeight="16.149999999999999" x14ac:dyDescent="0.45"/>
  <cols>
    <col min="1" max="1" width="11.6640625" customWidth="1"/>
    <col min="3" max="3" width="15.33203125" customWidth="1"/>
    <col min="4" max="4" width="18.1328125" customWidth="1"/>
    <col min="6" max="6" width="15.1328125" customWidth="1"/>
    <col min="7" max="7" width="19" customWidth="1"/>
    <col min="8" max="8" width="10.6640625" customWidth="1"/>
    <col min="9" max="9" width="15" customWidth="1"/>
    <col min="10" max="10" width="19.33203125" customWidth="1"/>
    <col min="12" max="12" width="16.1328125" customWidth="1"/>
    <col min="13" max="13" width="16.6640625" customWidth="1"/>
    <col min="15" max="15" width="12.6640625" customWidth="1"/>
  </cols>
  <sheetData>
    <row r="1" spans="1:15" ht="16.5" thickBot="1" x14ac:dyDescent="0.5">
      <c r="A1" s="6" t="s">
        <v>0</v>
      </c>
      <c r="B1" s="9" t="s">
        <v>1</v>
      </c>
      <c r="C1" s="7" t="s">
        <v>8</v>
      </c>
      <c r="D1" s="8" t="s">
        <v>4</v>
      </c>
      <c r="E1" s="15" t="s">
        <v>2</v>
      </c>
      <c r="F1" s="7" t="s">
        <v>9</v>
      </c>
      <c r="G1" s="8" t="s">
        <v>5</v>
      </c>
      <c r="H1" s="15" t="s">
        <v>3</v>
      </c>
      <c r="I1" s="7" t="s">
        <v>10</v>
      </c>
      <c r="J1" s="8" t="s">
        <v>6</v>
      </c>
      <c r="L1" s="18" t="s">
        <v>11</v>
      </c>
      <c r="M1" s="7" t="s">
        <v>13</v>
      </c>
      <c r="N1" s="7" t="s">
        <v>7</v>
      </c>
      <c r="O1" s="8" t="s">
        <v>14</v>
      </c>
    </row>
    <row r="2" spans="1:15" ht="16.5" thickBot="1" x14ac:dyDescent="0.5">
      <c r="A2" s="4">
        <v>40182</v>
      </c>
      <c r="B2" s="10">
        <v>28.588688000000001</v>
      </c>
      <c r="C2" s="11"/>
      <c r="D2" s="12">
        <v>1</v>
      </c>
      <c r="E2" s="16">
        <v>117.65800900000001</v>
      </c>
      <c r="F2" s="11"/>
      <c r="G2" s="12">
        <v>1</v>
      </c>
      <c r="H2" s="16">
        <v>12.866287</v>
      </c>
      <c r="I2" s="11"/>
      <c r="J2" s="12">
        <v>1</v>
      </c>
      <c r="L2" s="18" t="s">
        <v>12</v>
      </c>
      <c r="M2" s="7">
        <f t="array" ref="M2">SUM(ABS(D2:D127 - G2:G127))</f>
        <v>16.352673873176613</v>
      </c>
      <c r="N2" s="7">
        <f t="array" ref="N2">SUM(ABS(D2:D127 - J2:J127))</f>
        <v>12.904621580206994</v>
      </c>
      <c r="O2" s="8">
        <f t="array" ref="O2">SUM(ABS(G2:G127 - J2:J127))</f>
        <v>16.285293642371506</v>
      </c>
    </row>
    <row r="3" spans="1:15" ht="16.5" thickBot="1" x14ac:dyDescent="0.5">
      <c r="A3" s="4">
        <v>40183</v>
      </c>
      <c r="B3" s="10">
        <v>28.638107000000002</v>
      </c>
      <c r="C3" s="11">
        <f>(B3-B2) / B2</f>
        <v>1.7286207747623929E-3</v>
      </c>
      <c r="D3" s="12">
        <f>D2*(1+C3)</f>
        <v>1.0017286207747624</v>
      </c>
      <c r="E3" s="16">
        <v>116.236705</v>
      </c>
      <c r="F3" s="11">
        <f>(E3-E2)/E2</f>
        <v>-1.2079959639636654E-2</v>
      </c>
      <c r="G3" s="12">
        <f>G2*(1+F3)</f>
        <v>0.98792004036036329</v>
      </c>
      <c r="H3" s="16">
        <v>12.932907999999999</v>
      </c>
      <c r="I3" s="11">
        <f>(H3-H2)/H2</f>
        <v>5.1779507172504081E-3</v>
      </c>
      <c r="J3" s="12">
        <f>J2*(1+I3)</f>
        <v>1.0051779507172505</v>
      </c>
      <c r="L3" s="19" t="s">
        <v>15</v>
      </c>
      <c r="M3" s="7" t="s">
        <v>7</v>
      </c>
    </row>
    <row r="4" spans="1:15" ht="16.5" thickBot="1" x14ac:dyDescent="0.5">
      <c r="A4" s="4">
        <v>40184</v>
      </c>
      <c r="B4" s="10">
        <v>28.182583999999999</v>
      </c>
      <c r="C4" s="11">
        <f t="shared" ref="C4:C67" si="0">(B4-B3) / B3</f>
        <v>-1.5906184022568357E-2</v>
      </c>
      <c r="D4" s="12">
        <f t="shared" ref="D4:D67" si="1">D3*(1+C4)</f>
        <v>0.98579494099204545</v>
      </c>
      <c r="E4" s="16">
        <v>115.481627</v>
      </c>
      <c r="F4" s="11">
        <f t="shared" ref="F4:F67" si="2">(E4-E3)/E3</f>
        <v>-6.4960375468316785E-3</v>
      </c>
      <c r="G4" s="12">
        <f t="shared" ref="G4:G67" si="3">G3*(1+F4)</f>
        <v>0.98150247468491492</v>
      </c>
      <c r="H4" s="16">
        <v>12.866287</v>
      </c>
      <c r="I4" s="11">
        <f t="shared" ref="I4:I67" si="4">(H4-H3)/H3</f>
        <v>-5.1512776554197707E-3</v>
      </c>
      <c r="J4" s="12">
        <f t="shared" ref="J4:J67" si="5">J3*(1+I4)</f>
        <v>1</v>
      </c>
    </row>
    <row r="5" spans="1:15" x14ac:dyDescent="0.45">
      <c r="A5" s="4">
        <v>40185</v>
      </c>
      <c r="B5" s="10">
        <v>28.130489000000001</v>
      </c>
      <c r="C5" s="11">
        <f t="shared" si="0"/>
        <v>-1.8484820270560636E-3</v>
      </c>
      <c r="D5" s="12">
        <f t="shared" si="1"/>
        <v>0.98397271676125897</v>
      </c>
      <c r="E5" s="16">
        <v>115.081886</v>
      </c>
      <c r="F5" s="11">
        <f t="shared" si="2"/>
        <v>-3.4615116740605487E-3</v>
      </c>
      <c r="G5" s="12">
        <f t="shared" si="3"/>
        <v>0.97810499241067383</v>
      </c>
      <c r="H5" s="16">
        <v>13.532503</v>
      </c>
      <c r="I5" s="11">
        <f t="shared" si="4"/>
        <v>5.1779973507508452E-2</v>
      </c>
      <c r="J5" s="12">
        <f t="shared" si="5"/>
        <v>1.0517799735075084</v>
      </c>
      <c r="L5" s="23" t="s">
        <v>17</v>
      </c>
      <c r="M5" s="22">
        <f t="array" ref="M5">AVERAGE(D2:D127-J2:J127)</f>
        <v>-7.0688450733978328E-3</v>
      </c>
    </row>
    <row r="6" spans="1:15" ht="16.5" thickBot="1" x14ac:dyDescent="0.5">
      <c r="A6" s="4">
        <v>40186</v>
      </c>
      <c r="B6" s="10">
        <v>28.317508</v>
      </c>
      <c r="C6" s="11">
        <f t="shared" si="0"/>
        <v>6.6482669391207307E-3</v>
      </c>
      <c r="D6" s="12">
        <f t="shared" si="1"/>
        <v>0.99051443004309969</v>
      </c>
      <c r="E6" s="16">
        <v>116.236705</v>
      </c>
      <c r="F6" s="11">
        <f t="shared" si="2"/>
        <v>1.0034759075811491E-2</v>
      </c>
      <c r="G6" s="12">
        <f t="shared" si="3"/>
        <v>0.98792004036036329</v>
      </c>
      <c r="H6" s="16">
        <v>13.823971999999999</v>
      </c>
      <c r="I6" s="11">
        <f t="shared" si="4"/>
        <v>2.1538439710672836E-2</v>
      </c>
      <c r="J6" s="12">
        <f t="shared" si="5"/>
        <v>1.0744336730557928</v>
      </c>
      <c r="L6" s="19" t="s">
        <v>18</v>
      </c>
      <c r="M6" s="14">
        <f t="array" ref="M6">_xlfn.STDEV.S(D2:D127 - J2:J127)</f>
        <v>0.12226473415400461</v>
      </c>
    </row>
    <row r="7" spans="1:15" x14ac:dyDescent="0.45">
      <c r="A7" s="4">
        <v>40189</v>
      </c>
      <c r="B7" s="10">
        <v>28.067696999999999</v>
      </c>
      <c r="C7" s="11">
        <f t="shared" si="0"/>
        <v>-8.8217861543466725E-3</v>
      </c>
      <c r="D7" s="12">
        <f t="shared" si="1"/>
        <v>0.98177632355846489</v>
      </c>
      <c r="E7" s="16">
        <v>115.01969699999999</v>
      </c>
      <c r="F7" s="11">
        <f t="shared" si="2"/>
        <v>-1.0470083438789898E-2</v>
      </c>
      <c r="G7" s="12">
        <f t="shared" si="3"/>
        <v>0.9775764351069377</v>
      </c>
      <c r="H7" s="16">
        <v>13.957215</v>
      </c>
      <c r="I7" s="11">
        <f t="shared" si="4"/>
        <v>9.6385467215934911E-3</v>
      </c>
      <c r="J7" s="12">
        <f t="shared" si="5"/>
        <v>1.0847896522127944</v>
      </c>
    </row>
    <row r="8" spans="1:15" x14ac:dyDescent="0.45">
      <c r="A8" s="4">
        <v>40190</v>
      </c>
      <c r="B8" s="10">
        <v>27.748434</v>
      </c>
      <c r="C8" s="11">
        <f t="shared" si="0"/>
        <v>-1.1374748701327346E-2</v>
      </c>
      <c r="D8" s="12">
        <f t="shared" si="1"/>
        <v>0.97060886459707429</v>
      </c>
      <c r="E8" s="16">
        <v>115.934665</v>
      </c>
      <c r="F8" s="11">
        <f t="shared" si="2"/>
        <v>7.9548809800811925E-3</v>
      </c>
      <c r="G8" s="12">
        <f t="shared" si="3"/>
        <v>0.9853529392971454</v>
      </c>
      <c r="H8" s="16">
        <v>13.965543</v>
      </c>
      <c r="I8" s="11">
        <f t="shared" si="4"/>
        <v>5.9668064151770662E-4</v>
      </c>
      <c r="J8" s="12">
        <f t="shared" si="5"/>
        <v>1.0854369251983884</v>
      </c>
    </row>
    <row r="9" spans="1:15" x14ac:dyDescent="0.45">
      <c r="A9" s="4">
        <v>40191</v>
      </c>
      <c r="B9" s="10">
        <v>28.139838999999998</v>
      </c>
      <c r="C9" s="11">
        <f t="shared" si="0"/>
        <v>1.4105480691270681E-2</v>
      </c>
      <c r="D9" s="12">
        <f t="shared" si="1"/>
        <v>0.98429976919542439</v>
      </c>
      <c r="E9" s="16">
        <v>115.685937</v>
      </c>
      <c r="F9" s="11">
        <f t="shared" si="2"/>
        <v>-2.1454152647096521E-3</v>
      </c>
      <c r="G9" s="12">
        <f t="shared" si="3"/>
        <v>0.98323894806005074</v>
      </c>
      <c r="H9" s="16">
        <v>14.015509</v>
      </c>
      <c r="I9" s="11">
        <f t="shared" si="4"/>
        <v>3.5778057466150444E-3</v>
      </c>
      <c r="J9" s="12">
        <f t="shared" si="5"/>
        <v>1.0893204076669514</v>
      </c>
    </row>
    <row r="10" spans="1:15" x14ac:dyDescent="0.45">
      <c r="A10" s="4">
        <v>40192</v>
      </c>
      <c r="B10" s="10">
        <v>27.976859999999999</v>
      </c>
      <c r="C10" s="11">
        <f t="shared" si="0"/>
        <v>-5.7917531084666117E-3</v>
      </c>
      <c r="D10" s="12">
        <f t="shared" si="1"/>
        <v>0.97859894794752389</v>
      </c>
      <c r="E10" s="16">
        <v>117.533644</v>
      </c>
      <c r="F10" s="11">
        <f t="shared" si="2"/>
        <v>1.5971751173178464E-2</v>
      </c>
      <c r="G10" s="12">
        <f t="shared" si="3"/>
        <v>0.99894299588224367</v>
      </c>
      <c r="H10" s="16">
        <v>13.907249999999999</v>
      </c>
      <c r="I10" s="11">
        <f t="shared" si="4"/>
        <v>-7.724228923830046E-3</v>
      </c>
      <c r="J10" s="12">
        <f t="shared" si="5"/>
        <v>1.0809062474667319</v>
      </c>
    </row>
    <row r="11" spans="1:15" x14ac:dyDescent="0.45">
      <c r="A11" s="4">
        <v>40193</v>
      </c>
      <c r="B11" s="10">
        <v>27.509309999999999</v>
      </c>
      <c r="C11" s="11">
        <f t="shared" si="0"/>
        <v>-1.671202558114096E-2</v>
      </c>
      <c r="D11" s="12">
        <f t="shared" si="1"/>
        <v>0.96224457729574731</v>
      </c>
      <c r="E11" s="16">
        <v>117.062836</v>
      </c>
      <c r="F11" s="11">
        <f t="shared" si="2"/>
        <v>-4.0057296275098136E-3</v>
      </c>
      <c r="G11" s="12">
        <f t="shared" si="3"/>
        <v>0.99494150032744477</v>
      </c>
      <c r="H11" s="16">
        <v>13.690728999999999</v>
      </c>
      <c r="I11" s="11">
        <f t="shared" si="4"/>
        <v>-1.5568929874705654E-2</v>
      </c>
      <c r="J11" s="12">
        <f t="shared" si="5"/>
        <v>1.064077693898791</v>
      </c>
    </row>
    <row r="12" spans="1:15" x14ac:dyDescent="0.45">
      <c r="A12" s="4">
        <v>40197</v>
      </c>
      <c r="B12" s="10">
        <v>28.726277</v>
      </c>
      <c r="C12" s="11">
        <f t="shared" si="0"/>
        <v>4.4238368755886659E-2</v>
      </c>
      <c r="D12" s="12">
        <f t="shared" si="1"/>
        <v>1.0048127077395088</v>
      </c>
      <c r="E12" s="16">
        <v>119.159272</v>
      </c>
      <c r="F12" s="11">
        <f t="shared" si="2"/>
        <v>1.7908638399978596E-2</v>
      </c>
      <c r="G12" s="12">
        <f t="shared" si="3"/>
        <v>1.0127595478859412</v>
      </c>
      <c r="H12" s="16">
        <v>13.774006999999999</v>
      </c>
      <c r="I12" s="11">
        <f t="shared" si="4"/>
        <v>6.0828024570495822E-3</v>
      </c>
      <c r="J12" s="12">
        <f t="shared" si="5"/>
        <v>1.0705502683097303</v>
      </c>
    </row>
    <row r="13" spans="1:15" x14ac:dyDescent="0.45">
      <c r="A13" s="4">
        <v>40198</v>
      </c>
      <c r="B13" s="10">
        <v>28.284106999999999</v>
      </c>
      <c r="C13" s="11">
        <f t="shared" si="0"/>
        <v>-1.5392527197311398E-2</v>
      </c>
      <c r="D13" s="12">
        <f t="shared" si="1"/>
        <v>0.98934610080742424</v>
      </c>
      <c r="E13" s="16">
        <v>115.70370699999999</v>
      </c>
      <c r="F13" s="11">
        <f t="shared" si="2"/>
        <v>-2.8999547764944445E-2</v>
      </c>
      <c r="G13" s="12">
        <f t="shared" si="3"/>
        <v>0.98338997900261937</v>
      </c>
      <c r="H13" s="16">
        <v>13.740695000000001</v>
      </c>
      <c r="I13" s="11">
        <f t="shared" si="4"/>
        <v>-2.4184683512937575E-3</v>
      </c>
      <c r="J13" s="12">
        <f t="shared" si="5"/>
        <v>1.0679611763673542</v>
      </c>
    </row>
    <row r="14" spans="1:15" x14ac:dyDescent="0.45">
      <c r="A14" s="4">
        <v>40199</v>
      </c>
      <c r="B14" s="10">
        <v>27.795190000000002</v>
      </c>
      <c r="C14" s="11">
        <f t="shared" si="0"/>
        <v>-1.7285926686672382E-2</v>
      </c>
      <c r="D14" s="12">
        <f t="shared" si="1"/>
        <v>0.97224433664112186</v>
      </c>
      <c r="E14" s="16">
        <v>114.593307</v>
      </c>
      <c r="F14" s="11">
        <f t="shared" si="2"/>
        <v>-9.5969267432373506E-3</v>
      </c>
      <c r="G14" s="12">
        <f t="shared" si="3"/>
        <v>0.97395245741409753</v>
      </c>
      <c r="H14" s="16">
        <v>13.340966</v>
      </c>
      <c r="I14" s="11">
        <f t="shared" si="4"/>
        <v>-2.9090886596347613E-2</v>
      </c>
      <c r="J14" s="12">
        <f t="shared" si="5"/>
        <v>1.0368932388963494</v>
      </c>
    </row>
    <row r="15" spans="1:15" x14ac:dyDescent="0.45">
      <c r="A15" s="4">
        <v>40200</v>
      </c>
      <c r="B15" s="10">
        <v>26.416581000000001</v>
      </c>
      <c r="C15" s="11">
        <f t="shared" si="0"/>
        <v>-4.9598833467229431E-2</v>
      </c>
      <c r="D15" s="12">
        <f t="shared" si="1"/>
        <v>0.92402215169860191</v>
      </c>
      <c r="E15" s="16">
        <v>111.48418599999999</v>
      </c>
      <c r="F15" s="11">
        <f t="shared" si="2"/>
        <v>-2.7131785279571361E-2</v>
      </c>
      <c r="G15" s="12">
        <f t="shared" si="3"/>
        <v>0.94752738846702733</v>
      </c>
      <c r="H15" s="16">
        <v>13.415915</v>
      </c>
      <c r="I15" s="11">
        <f t="shared" si="4"/>
        <v>5.6179589993708215E-3</v>
      </c>
      <c r="J15" s="12">
        <f t="shared" si="5"/>
        <v>1.0427184625991939</v>
      </c>
    </row>
    <row r="16" spans="1:15" x14ac:dyDescent="0.45">
      <c r="A16" s="4">
        <v>40203</v>
      </c>
      <c r="B16" s="10">
        <v>27.127257</v>
      </c>
      <c r="C16" s="11">
        <f t="shared" si="0"/>
        <v>2.6902648756854622E-2</v>
      </c>
      <c r="D16" s="12">
        <f t="shared" si="1"/>
        <v>0.94888079508930245</v>
      </c>
      <c r="E16" s="16">
        <v>112.034947</v>
      </c>
      <c r="F16" s="11">
        <f t="shared" si="2"/>
        <v>4.940261213370733E-3</v>
      </c>
      <c r="G16" s="12">
        <f t="shared" si="3"/>
        <v>0.95220842127287741</v>
      </c>
      <c r="H16" s="16">
        <v>13.632436</v>
      </c>
      <c r="I16" s="11">
        <f t="shared" si="4"/>
        <v>1.6139115371556854E-2</v>
      </c>
      <c r="J16" s="12">
        <f t="shared" si="5"/>
        <v>1.0595470161671348</v>
      </c>
    </row>
    <row r="17" spans="1:10" x14ac:dyDescent="0.45">
      <c r="A17" s="4">
        <v>40204</v>
      </c>
      <c r="B17" s="10">
        <v>27.510648</v>
      </c>
      <c r="C17" s="11">
        <f t="shared" si="0"/>
        <v>1.4133054440410233E-2</v>
      </c>
      <c r="D17" s="12">
        <f t="shared" si="1"/>
        <v>0.96229137902375916</v>
      </c>
      <c r="E17" s="16">
        <v>111.706266</v>
      </c>
      <c r="F17" s="11">
        <f t="shared" si="2"/>
        <v>-2.9337363813810979E-3</v>
      </c>
      <c r="G17" s="12">
        <f t="shared" si="3"/>
        <v>0.94941489278473179</v>
      </c>
      <c r="H17" s="16">
        <v>13.615780000000001</v>
      </c>
      <c r="I17" s="11">
        <f t="shared" si="4"/>
        <v>-1.2217919086507604E-3</v>
      </c>
      <c r="J17" s="12">
        <f t="shared" si="5"/>
        <v>1.0582524701959466</v>
      </c>
    </row>
    <row r="18" spans="1:10" x14ac:dyDescent="0.45">
      <c r="A18" s="4">
        <v>40205</v>
      </c>
      <c r="B18" s="10">
        <v>27.769801000000001</v>
      </c>
      <c r="C18" s="11">
        <f t="shared" si="0"/>
        <v>9.4200979926027661E-3</v>
      </c>
      <c r="D18" s="12">
        <f t="shared" si="1"/>
        <v>0.97135625811159976</v>
      </c>
      <c r="E18" s="16">
        <v>112.221493</v>
      </c>
      <c r="F18" s="11">
        <f t="shared" si="2"/>
        <v>4.61233750307253E-3</v>
      </c>
      <c r="G18" s="12">
        <f t="shared" si="3"/>
        <v>0.9537939147006983</v>
      </c>
      <c r="H18" s="16">
        <v>13.57414</v>
      </c>
      <c r="I18" s="11">
        <f t="shared" si="4"/>
        <v>-3.0582162755274402E-3</v>
      </c>
      <c r="J18" s="12">
        <f t="shared" si="5"/>
        <v>1.0550161052679761</v>
      </c>
    </row>
    <row r="19" spans="1:10" x14ac:dyDescent="0.45">
      <c r="A19" s="4">
        <v>40206</v>
      </c>
      <c r="B19" s="10">
        <v>26.622302000000001</v>
      </c>
      <c r="C19" s="11">
        <f t="shared" si="0"/>
        <v>-4.1321830142030898E-2</v>
      </c>
      <c r="D19" s="12">
        <f t="shared" si="1"/>
        <v>0.93121803980651341</v>
      </c>
      <c r="E19" s="16">
        <v>109.929626</v>
      </c>
      <c r="F19" s="11">
        <f t="shared" si="2"/>
        <v>-2.0422709934896307E-2</v>
      </c>
      <c r="G19" s="12">
        <f t="shared" si="3"/>
        <v>0.93431485824309679</v>
      </c>
      <c r="H19" s="16">
        <v>13.457553000000001</v>
      </c>
      <c r="I19" s="11">
        <f t="shared" si="4"/>
        <v>-8.5889050798060949E-3</v>
      </c>
      <c r="J19" s="12">
        <f t="shared" si="5"/>
        <v>1.0459546720821626</v>
      </c>
    </row>
    <row r="20" spans="1:10" x14ac:dyDescent="0.45">
      <c r="A20" s="4">
        <v>40207</v>
      </c>
      <c r="B20" s="10">
        <v>25.656475</v>
      </c>
      <c r="C20" s="11">
        <f t="shared" si="0"/>
        <v>-3.6278868746962636E-2</v>
      </c>
      <c r="D20" s="12">
        <f t="shared" si="1"/>
        <v>0.89743450276556913</v>
      </c>
      <c r="E20" s="16">
        <v>108.72150999999999</v>
      </c>
      <c r="F20" s="11">
        <f t="shared" si="2"/>
        <v>-1.0989903668006694E-2</v>
      </c>
      <c r="G20" s="12">
        <f t="shared" si="3"/>
        <v>0.92404682795541782</v>
      </c>
      <c r="H20" s="16">
        <v>13.390931999999999</v>
      </c>
      <c r="I20" s="11">
        <f t="shared" si="4"/>
        <v>-4.9504542170483272E-3</v>
      </c>
      <c r="J20" s="12">
        <f t="shared" si="5"/>
        <v>1.0407767213649122</v>
      </c>
    </row>
    <row r="21" spans="1:10" x14ac:dyDescent="0.45">
      <c r="A21" s="4">
        <v>40210</v>
      </c>
      <c r="B21" s="10">
        <v>26.01315</v>
      </c>
      <c r="C21" s="11">
        <f t="shared" si="0"/>
        <v>1.3901948728342424E-2</v>
      </c>
      <c r="D21" s="12">
        <f t="shared" si="1"/>
        <v>0.90991059121006157</v>
      </c>
      <c r="E21" s="16">
        <v>110.74687900000001</v>
      </c>
      <c r="F21" s="11">
        <f t="shared" si="2"/>
        <v>1.8628963118705877E-2</v>
      </c>
      <c r="G21" s="12">
        <f t="shared" si="3"/>
        <v>0.94126086223335637</v>
      </c>
      <c r="H21" s="16">
        <v>13.532503</v>
      </c>
      <c r="I21" s="11">
        <f t="shared" si="4"/>
        <v>1.0572154350421673E-2</v>
      </c>
      <c r="J21" s="12">
        <f t="shared" si="5"/>
        <v>1.0517799735075077</v>
      </c>
    </row>
    <row r="22" spans="1:10" x14ac:dyDescent="0.45">
      <c r="A22" s="4">
        <v>40211</v>
      </c>
      <c r="B22" s="10">
        <v>26.164103000000001</v>
      </c>
      <c r="C22" s="11">
        <f t="shared" si="0"/>
        <v>5.8029496619979217E-3</v>
      </c>
      <c r="D22" s="12">
        <f t="shared" si="1"/>
        <v>0.91519075656777238</v>
      </c>
      <c r="E22" s="16">
        <v>111.510835</v>
      </c>
      <c r="F22" s="11">
        <f t="shared" si="2"/>
        <v>6.8982169691661757E-3</v>
      </c>
      <c r="G22" s="12">
        <f t="shared" si="3"/>
        <v>0.94775388388562654</v>
      </c>
      <c r="H22" s="16">
        <v>14.032165000000001</v>
      </c>
      <c r="I22" s="11">
        <f t="shared" si="4"/>
        <v>3.6923102843576E-2</v>
      </c>
      <c r="J22" s="12">
        <f t="shared" si="5"/>
        <v>1.0906149536381391</v>
      </c>
    </row>
    <row r="23" spans="1:10" x14ac:dyDescent="0.45">
      <c r="A23" s="4">
        <v>40212</v>
      </c>
      <c r="B23" s="10">
        <v>26.614287999999998</v>
      </c>
      <c r="C23" s="11">
        <f t="shared" si="0"/>
        <v>1.7206208063008988E-2</v>
      </c>
      <c r="D23" s="12">
        <f t="shared" si="1"/>
        <v>0.93093771914262002</v>
      </c>
      <c r="E23" s="16">
        <v>111.626321</v>
      </c>
      <c r="F23" s="11">
        <f t="shared" si="2"/>
        <v>1.035648239922194E-3</v>
      </c>
      <c r="G23" s="12">
        <f t="shared" si="3"/>
        <v>0.94873542352735218</v>
      </c>
      <c r="H23" s="16">
        <v>13.890594</v>
      </c>
      <c r="I23" s="11">
        <f t="shared" si="4"/>
        <v>-1.0089034728425782E-2</v>
      </c>
      <c r="J23" s="12">
        <f t="shared" si="5"/>
        <v>1.0796117014955433</v>
      </c>
    </row>
    <row r="24" spans="1:10" x14ac:dyDescent="0.45">
      <c r="A24" s="4">
        <v>40213</v>
      </c>
      <c r="B24" s="10">
        <v>25.655138999999998</v>
      </c>
      <c r="C24" s="11">
        <f t="shared" si="0"/>
        <v>-3.6038875058389694E-2</v>
      </c>
      <c r="D24" s="12">
        <f t="shared" si="1"/>
        <v>0.89738777099529687</v>
      </c>
      <c r="E24" s="16">
        <v>109.263386</v>
      </c>
      <c r="F24" s="11">
        <f t="shared" si="2"/>
        <v>-2.1168260127465879E-2</v>
      </c>
      <c r="G24" s="12">
        <f t="shared" si="3"/>
        <v>0.92865234528998375</v>
      </c>
      <c r="H24" s="16">
        <v>13.357621999999999</v>
      </c>
      <c r="I24" s="11">
        <f t="shared" si="4"/>
        <v>-3.8369273481033347E-2</v>
      </c>
      <c r="J24" s="12">
        <f t="shared" si="5"/>
        <v>1.0381877848675372</v>
      </c>
    </row>
    <row r="25" spans="1:10" x14ac:dyDescent="0.45">
      <c r="A25" s="4">
        <v>40214</v>
      </c>
      <c r="B25" s="10">
        <v>26.110671</v>
      </c>
      <c r="C25" s="11">
        <f t="shared" si="0"/>
        <v>1.7755974738628454E-2</v>
      </c>
      <c r="D25" s="12">
        <f t="shared" si="1"/>
        <v>0.9133217655878435</v>
      </c>
      <c r="E25" s="16">
        <v>109.725309</v>
      </c>
      <c r="F25" s="11">
        <f t="shared" si="2"/>
        <v>4.2276101529564424E-3</v>
      </c>
      <c r="G25" s="12">
        <f t="shared" si="3"/>
        <v>0.93257832537349838</v>
      </c>
      <c r="H25" s="16">
        <v>13.149429</v>
      </c>
      <c r="I25" s="11">
        <f t="shared" si="4"/>
        <v>-1.5586082612608715E-2</v>
      </c>
      <c r="J25" s="12">
        <f t="shared" si="5"/>
        <v>1.0220065042851905</v>
      </c>
    </row>
    <row r="26" spans="1:10" x14ac:dyDescent="0.45">
      <c r="A26" s="4">
        <v>40217</v>
      </c>
      <c r="B26" s="10">
        <v>25.931666</v>
      </c>
      <c r="C26" s="11">
        <f t="shared" si="0"/>
        <v>-6.8556261920653082E-3</v>
      </c>
      <c r="D26" s="12">
        <f t="shared" si="1"/>
        <v>0.90706037296989617</v>
      </c>
      <c r="E26" s="16">
        <v>108.752709</v>
      </c>
      <c r="F26" s="11">
        <f t="shared" si="2"/>
        <v>-8.8639531650806288E-3</v>
      </c>
      <c r="G26" s="12">
        <f t="shared" si="3"/>
        <v>0.92431199477461845</v>
      </c>
      <c r="H26" s="16">
        <v>12.991203000000001</v>
      </c>
      <c r="I26" s="11">
        <f t="shared" si="4"/>
        <v>-1.2032917931265236E-2</v>
      </c>
      <c r="J26" s="12">
        <f t="shared" si="5"/>
        <v>1.0097087838939074</v>
      </c>
    </row>
    <row r="27" spans="1:10" x14ac:dyDescent="0.45">
      <c r="A27" s="4">
        <v>40218</v>
      </c>
      <c r="B27" s="10">
        <v>26.208183999999999</v>
      </c>
      <c r="C27" s="11">
        <f t="shared" si="0"/>
        <v>1.0663333393234333E-2</v>
      </c>
      <c r="D27" s="12">
        <f t="shared" si="1"/>
        <v>0.9167326601346657</v>
      </c>
      <c r="E27" s="16">
        <v>109.93946099999999</v>
      </c>
      <c r="F27" s="11">
        <f t="shared" si="2"/>
        <v>1.0912390237561792E-2</v>
      </c>
      <c r="G27" s="12">
        <f t="shared" si="3"/>
        <v>0.93439844796285831</v>
      </c>
      <c r="H27" s="16">
        <v>12.991203000000001</v>
      </c>
      <c r="I27" s="11">
        <f t="shared" si="4"/>
        <v>0</v>
      </c>
      <c r="J27" s="12">
        <f t="shared" si="5"/>
        <v>1.0097087838939074</v>
      </c>
    </row>
    <row r="28" spans="1:10" x14ac:dyDescent="0.45">
      <c r="A28" s="4">
        <v>40219</v>
      </c>
      <c r="B28" s="10">
        <v>26.065255000000001</v>
      </c>
      <c r="C28" s="11">
        <f t="shared" si="0"/>
        <v>-5.4536018214767857E-3</v>
      </c>
      <c r="D28" s="12">
        <f t="shared" si="1"/>
        <v>0.91173316522954806</v>
      </c>
      <c r="E28" s="16">
        <v>109.582542</v>
      </c>
      <c r="F28" s="11">
        <f t="shared" si="2"/>
        <v>-3.2465049105524601E-3</v>
      </c>
      <c r="G28" s="12">
        <f t="shared" si="3"/>
        <v>0.93136491881313432</v>
      </c>
      <c r="H28" s="16">
        <v>13.066151</v>
      </c>
      <c r="I28" s="11">
        <f t="shared" si="4"/>
        <v>5.7691346983030842E-3</v>
      </c>
      <c r="J28" s="12">
        <f t="shared" si="5"/>
        <v>1.0155339298742512</v>
      </c>
    </row>
    <row r="29" spans="1:10" x14ac:dyDescent="0.45">
      <c r="A29" s="4">
        <v>40220</v>
      </c>
      <c r="B29" s="10">
        <v>26.539480999999999</v>
      </c>
      <c r="C29" s="11">
        <f t="shared" si="0"/>
        <v>1.819379860277592E-2</v>
      </c>
      <c r="D29" s="12">
        <f t="shared" si="1"/>
        <v>0.92832105481720573</v>
      </c>
      <c r="E29" s="16">
        <v>110.403457</v>
      </c>
      <c r="F29" s="11">
        <f t="shared" si="2"/>
        <v>7.4912936405508767E-3</v>
      </c>
      <c r="G29" s="12">
        <f t="shared" si="3"/>
        <v>0.93834204690647138</v>
      </c>
      <c r="H29" s="16">
        <v>13.132774</v>
      </c>
      <c r="I29" s="11">
        <f t="shared" si="4"/>
        <v>5.0989002040463085E-3</v>
      </c>
      <c r="J29" s="12">
        <f t="shared" si="5"/>
        <v>1.020712036036503</v>
      </c>
    </row>
    <row r="30" spans="1:10" x14ac:dyDescent="0.45">
      <c r="A30" s="4">
        <v>40221</v>
      </c>
      <c r="B30" s="10">
        <v>26.767907000000001</v>
      </c>
      <c r="C30" s="11">
        <f t="shared" si="0"/>
        <v>8.60702588720565E-3</v>
      </c>
      <c r="D30" s="12">
        <f t="shared" si="1"/>
        <v>0.93631113816765554</v>
      </c>
      <c r="E30" s="16">
        <v>110.644373</v>
      </c>
      <c r="F30" s="11">
        <f t="shared" si="2"/>
        <v>2.1821418146353746E-3</v>
      </c>
      <c r="G30" s="12">
        <f t="shared" si="3"/>
        <v>0.94038964232345645</v>
      </c>
      <c r="H30" s="16">
        <v>12.949564000000001</v>
      </c>
      <c r="I30" s="11">
        <f t="shared" si="4"/>
        <v>-1.3950594139516829E-2</v>
      </c>
      <c r="J30" s="12">
        <f t="shared" si="5"/>
        <v>1.0064724966884377</v>
      </c>
    </row>
    <row r="31" spans="1:10" x14ac:dyDescent="0.45">
      <c r="A31" s="4">
        <v>40225</v>
      </c>
      <c r="B31" s="10">
        <v>27.171337999999999</v>
      </c>
      <c r="C31" s="11">
        <f t="shared" si="0"/>
        <v>1.5071443576070315E-2</v>
      </c>
      <c r="D31" s="12">
        <f t="shared" si="1"/>
        <v>0.95042269865619555</v>
      </c>
      <c r="E31" s="16">
        <v>111.74189699999999</v>
      </c>
      <c r="F31" s="11">
        <f t="shared" si="2"/>
        <v>9.9193837900820574E-3</v>
      </c>
      <c r="G31" s="12">
        <f t="shared" si="3"/>
        <v>0.94971772809788069</v>
      </c>
      <c r="H31" s="16">
        <v>13.357621999999999</v>
      </c>
      <c r="I31" s="11">
        <f t="shared" si="4"/>
        <v>3.151133119230877E-2</v>
      </c>
      <c r="J31" s="12">
        <f t="shared" si="5"/>
        <v>1.0381877848675369</v>
      </c>
    </row>
    <row r="32" spans="1:10" x14ac:dyDescent="0.45">
      <c r="A32" s="4">
        <v>40226</v>
      </c>
      <c r="B32" s="10">
        <v>27.057789</v>
      </c>
      <c r="C32" s="11">
        <f t="shared" si="0"/>
        <v>-4.178999208651374E-3</v>
      </c>
      <c r="D32" s="12">
        <f t="shared" si="1"/>
        <v>0.94645088295062696</v>
      </c>
      <c r="E32" s="16">
        <v>112.72341900000001</v>
      </c>
      <c r="F32" s="11">
        <f t="shared" si="2"/>
        <v>8.7838315470875929E-3</v>
      </c>
      <c r="G32" s="12">
        <f t="shared" si="3"/>
        <v>0.95805988863877523</v>
      </c>
      <c r="H32" s="16">
        <v>13.449225</v>
      </c>
      <c r="I32" s="11">
        <f t="shared" si="4"/>
        <v>6.8577326113885388E-3</v>
      </c>
      <c r="J32" s="12">
        <f t="shared" si="5"/>
        <v>1.0453073990965682</v>
      </c>
    </row>
    <row r="33" spans="1:10" x14ac:dyDescent="0.45">
      <c r="A33" s="4">
        <v>40227</v>
      </c>
      <c r="B33" s="10">
        <v>27.108554999999999</v>
      </c>
      <c r="C33" s="11">
        <f t="shared" si="0"/>
        <v>1.8762065148781898E-3</v>
      </c>
      <c r="D33" s="12">
        <f t="shared" si="1"/>
        <v>0.94822662026323123</v>
      </c>
      <c r="E33" s="16">
        <v>114.044009</v>
      </c>
      <c r="F33" s="11">
        <f t="shared" si="2"/>
        <v>1.1715311793372729E-2</v>
      </c>
      <c r="G33" s="12">
        <f t="shared" si="3"/>
        <v>0.96928385895090252</v>
      </c>
      <c r="H33" s="16">
        <v>13.524175</v>
      </c>
      <c r="I33" s="11">
        <f t="shared" si="4"/>
        <v>5.5728118162942028E-3</v>
      </c>
      <c r="J33" s="12">
        <f t="shared" si="5"/>
        <v>1.0511327005219133</v>
      </c>
    </row>
    <row r="34" spans="1:10" x14ac:dyDescent="0.45">
      <c r="A34" s="4">
        <v>40228</v>
      </c>
      <c r="B34" s="10">
        <v>26.940235999999999</v>
      </c>
      <c r="C34" s="11">
        <f t="shared" si="0"/>
        <v>-6.2090731136351732E-3</v>
      </c>
      <c r="D34" s="12">
        <f t="shared" si="1"/>
        <v>0.94233901184972169</v>
      </c>
      <c r="E34" s="16">
        <v>113.490791</v>
      </c>
      <c r="F34" s="11">
        <f t="shared" si="2"/>
        <v>-4.8509168070371943E-3</v>
      </c>
      <c r="G34" s="12">
        <f t="shared" si="3"/>
        <v>0.96458194358872773</v>
      </c>
      <c r="H34" s="16">
        <v>13.465881</v>
      </c>
      <c r="I34" s="11">
        <f t="shared" si="4"/>
        <v>-4.3103553451504491E-3</v>
      </c>
      <c r="J34" s="12">
        <f t="shared" si="5"/>
        <v>1.0466019450677562</v>
      </c>
    </row>
    <row r="35" spans="1:10" x14ac:dyDescent="0.45">
      <c r="A35" s="4">
        <v>40231</v>
      </c>
      <c r="B35" s="10">
        <v>26.773256</v>
      </c>
      <c r="C35" s="11">
        <f t="shared" si="0"/>
        <v>-6.1981639656014447E-3</v>
      </c>
      <c r="D35" s="12">
        <f t="shared" si="1"/>
        <v>0.93649824014309424</v>
      </c>
      <c r="E35" s="16">
        <v>113.187408</v>
      </c>
      <c r="F35" s="11">
        <f t="shared" si="2"/>
        <v>-2.6731948674143667E-3</v>
      </c>
      <c r="G35" s="12">
        <f t="shared" si="3"/>
        <v>0.96200342808792583</v>
      </c>
      <c r="H35" s="16">
        <v>13.532503</v>
      </c>
      <c r="I35" s="11">
        <f t="shared" si="4"/>
        <v>4.9474668608760633E-3</v>
      </c>
      <c r="J35" s="12">
        <f t="shared" si="5"/>
        <v>1.0517799735075073</v>
      </c>
    </row>
    <row r="36" spans="1:10" x14ac:dyDescent="0.45">
      <c r="A36" s="4">
        <v>40232</v>
      </c>
      <c r="B36" s="10">
        <v>26.324407999999998</v>
      </c>
      <c r="C36" s="11">
        <f t="shared" si="0"/>
        <v>-1.6764789460049299E-2</v>
      </c>
      <c r="D36" s="12">
        <f t="shared" si="1"/>
        <v>0.92079804431738854</v>
      </c>
      <c r="E36" s="16">
        <v>112.839414</v>
      </c>
      <c r="F36" s="11">
        <f t="shared" si="2"/>
        <v>-3.0744939401739801E-3</v>
      </c>
      <c r="G36" s="12">
        <f t="shared" si="3"/>
        <v>0.9590457543778429</v>
      </c>
      <c r="H36" s="16">
        <v>13.282672</v>
      </c>
      <c r="I36" s="11">
        <f t="shared" si="4"/>
        <v>-1.8461551421788E-2</v>
      </c>
      <c r="J36" s="12">
        <f t="shared" si="5"/>
        <v>1.0323624834421916</v>
      </c>
    </row>
    <row r="37" spans="1:10" x14ac:dyDescent="0.45">
      <c r="A37" s="4">
        <v>40233</v>
      </c>
      <c r="B37" s="10">
        <v>26.805312000000001</v>
      </c>
      <c r="C37" s="11">
        <f t="shared" si="0"/>
        <v>1.8268369036067305E-2</v>
      </c>
      <c r="D37" s="12">
        <f t="shared" si="1"/>
        <v>0.93761952279866756</v>
      </c>
      <c r="E37" s="16">
        <v>113.847703</v>
      </c>
      <c r="F37" s="11">
        <f t="shared" si="2"/>
        <v>8.9356100342739345E-3</v>
      </c>
      <c r="G37" s="12">
        <f t="shared" si="3"/>
        <v>0.96761541324398936</v>
      </c>
      <c r="H37" s="16">
        <v>13.424243000000001</v>
      </c>
      <c r="I37" s="11">
        <f t="shared" si="4"/>
        <v>1.0658322361645366E-2</v>
      </c>
      <c r="J37" s="12">
        <f t="shared" si="5"/>
        <v>1.0433657355847874</v>
      </c>
    </row>
    <row r="38" spans="1:10" x14ac:dyDescent="0.45">
      <c r="A38" s="4">
        <v>40234</v>
      </c>
      <c r="B38" s="10">
        <v>26.984317000000001</v>
      </c>
      <c r="C38" s="11">
        <f t="shared" si="0"/>
        <v>6.677967411832404E-3</v>
      </c>
      <c r="D38" s="12">
        <f t="shared" si="1"/>
        <v>0.94388091541661501</v>
      </c>
      <c r="E38" s="16">
        <v>113.383714</v>
      </c>
      <c r="F38" s="11">
        <f t="shared" si="2"/>
        <v>-4.0755235966420684E-3</v>
      </c>
      <c r="G38" s="12">
        <f t="shared" si="3"/>
        <v>0.96367187379483887</v>
      </c>
      <c r="H38" s="16">
        <v>13.340446</v>
      </c>
      <c r="I38" s="11">
        <f t="shared" si="4"/>
        <v>-6.2422141792278759E-3</v>
      </c>
      <c r="J38" s="12">
        <f t="shared" si="5"/>
        <v>1.0368528231959995</v>
      </c>
    </row>
    <row r="39" spans="1:10" x14ac:dyDescent="0.45">
      <c r="A39" s="4">
        <v>40235</v>
      </c>
      <c r="B39" s="10">
        <v>27.334316000000001</v>
      </c>
      <c r="C39" s="11">
        <f t="shared" si="0"/>
        <v>1.2970459841544272E-2</v>
      </c>
      <c r="D39" s="12">
        <f t="shared" si="1"/>
        <v>0.95612348492522625</v>
      </c>
      <c r="E39" s="16">
        <v>113.46402399999999</v>
      </c>
      <c r="F39" s="11">
        <f t="shared" si="2"/>
        <v>7.0830278147351227E-4</v>
      </c>
      <c r="G39" s="12">
        <f t="shared" si="3"/>
        <v>0.96435444526347569</v>
      </c>
      <c r="H39" s="16">
        <v>13.457761</v>
      </c>
      <c r="I39" s="11">
        <f t="shared" si="4"/>
        <v>8.793933875973832E-3</v>
      </c>
      <c r="J39" s="12">
        <f t="shared" si="5"/>
        <v>1.0459708383623021</v>
      </c>
    </row>
    <row r="40" spans="1:10" x14ac:dyDescent="0.45">
      <c r="A40" s="4">
        <v>40238</v>
      </c>
      <c r="B40" s="10">
        <v>27.918078999999999</v>
      </c>
      <c r="C40" s="11">
        <f t="shared" si="0"/>
        <v>2.1356415137660571E-2</v>
      </c>
      <c r="D40" s="12">
        <f t="shared" si="1"/>
        <v>0.97654285499215621</v>
      </c>
      <c r="E40" s="16">
        <v>114.72216</v>
      </c>
      <c r="F40" s="11">
        <f t="shared" si="2"/>
        <v>1.1088413363516946E-2</v>
      </c>
      <c r="G40" s="12">
        <f t="shared" si="3"/>
        <v>0.9750476059815022</v>
      </c>
      <c r="H40" s="16">
        <v>13.323686</v>
      </c>
      <c r="I40" s="11">
        <f t="shared" si="4"/>
        <v>-9.9626527770852284E-3</v>
      </c>
      <c r="J40" s="12">
        <f t="shared" si="5"/>
        <v>1.0355501940847418</v>
      </c>
    </row>
    <row r="41" spans="1:10" x14ac:dyDescent="0.45">
      <c r="A41" s="4">
        <v>40239</v>
      </c>
      <c r="B41" s="10">
        <v>27.899379</v>
      </c>
      <c r="C41" s="11">
        <f t="shared" si="0"/>
        <v>-6.698168595338903E-4</v>
      </c>
      <c r="D41" s="12">
        <f t="shared" si="1"/>
        <v>0.97588875012382503</v>
      </c>
      <c r="E41" s="16">
        <v>113.696015</v>
      </c>
      <c r="F41" s="11">
        <f t="shared" si="2"/>
        <v>-8.9446101781905044E-3</v>
      </c>
      <c r="G41" s="12">
        <f t="shared" si="3"/>
        <v>0.96632618524081981</v>
      </c>
      <c r="H41" s="16">
        <v>13.323686</v>
      </c>
      <c r="I41" s="11">
        <f t="shared" si="4"/>
        <v>0</v>
      </c>
      <c r="J41" s="12">
        <f t="shared" si="5"/>
        <v>1.0355501940847418</v>
      </c>
    </row>
    <row r="42" spans="1:10" x14ac:dyDescent="0.45">
      <c r="A42" s="4">
        <v>40240</v>
      </c>
      <c r="B42" s="10">
        <v>27.963507</v>
      </c>
      <c r="C42" s="11">
        <f t="shared" si="0"/>
        <v>2.2985457848362927E-3</v>
      </c>
      <c r="D42" s="12">
        <f t="shared" si="1"/>
        <v>0.97813187509689137</v>
      </c>
      <c r="E42" s="16">
        <v>113.21417599999999</v>
      </c>
      <c r="F42" s="11">
        <f t="shared" si="2"/>
        <v>-4.237958559937284E-3</v>
      </c>
      <c r="G42" s="12">
        <f t="shared" si="3"/>
        <v>0.96223093491238698</v>
      </c>
      <c r="H42" s="16">
        <v>13.432623</v>
      </c>
      <c r="I42" s="11">
        <f t="shared" si="4"/>
        <v>8.1761908829132701E-3</v>
      </c>
      <c r="J42" s="12">
        <f t="shared" si="5"/>
        <v>1.0440170501404165</v>
      </c>
    </row>
    <row r="43" spans="1:10" x14ac:dyDescent="0.45">
      <c r="A43" s="4">
        <v>40241</v>
      </c>
      <c r="B43" s="10">
        <v>28.147853999999999</v>
      </c>
      <c r="C43" s="11">
        <f t="shared" si="0"/>
        <v>6.5924134623028124E-3</v>
      </c>
      <c r="D43" s="12">
        <f t="shared" si="1"/>
        <v>0.98458012483818758</v>
      </c>
      <c r="E43" s="16">
        <v>113.071412</v>
      </c>
      <c r="F43" s="11">
        <f t="shared" si="2"/>
        <v>-1.2610081620874022E-3</v>
      </c>
      <c r="G43" s="12">
        <f t="shared" si="3"/>
        <v>0.96101755384964949</v>
      </c>
      <c r="H43" s="16">
        <v>13.49966</v>
      </c>
      <c r="I43" s="11">
        <f t="shared" si="4"/>
        <v>4.9906112901404965E-3</v>
      </c>
      <c r="J43" s="12">
        <f t="shared" si="5"/>
        <v>1.0492273334179465</v>
      </c>
    </row>
    <row r="44" spans="1:10" x14ac:dyDescent="0.45">
      <c r="A44" s="4">
        <v>40242</v>
      </c>
      <c r="B44" s="10">
        <v>29.248597</v>
      </c>
      <c r="C44" s="11">
        <f t="shared" si="0"/>
        <v>3.9105752076161876E-2</v>
      </c>
      <c r="D44" s="12">
        <f t="shared" si="1"/>
        <v>1.0230828710992264</v>
      </c>
      <c r="E44" s="16">
        <v>113.544327</v>
      </c>
      <c r="F44" s="11">
        <f t="shared" si="2"/>
        <v>4.1824453381726625E-3</v>
      </c>
      <c r="G44" s="12">
        <f t="shared" si="3"/>
        <v>0.96503695723765004</v>
      </c>
      <c r="H44" s="16">
        <v>13.700772000000001</v>
      </c>
      <c r="I44" s="11">
        <f t="shared" si="4"/>
        <v>1.4897560383002252E-2</v>
      </c>
      <c r="J44" s="12">
        <f t="shared" si="5"/>
        <v>1.0648582609730366</v>
      </c>
    </row>
    <row r="45" spans="1:10" x14ac:dyDescent="0.45">
      <c r="A45" s="4">
        <v>40245</v>
      </c>
      <c r="B45" s="10">
        <v>29.265961999999998</v>
      </c>
      <c r="C45" s="11">
        <f t="shared" si="0"/>
        <v>5.9370369115476125E-4</v>
      </c>
      <c r="D45" s="12">
        <f t="shared" si="1"/>
        <v>1.0236902791761551</v>
      </c>
      <c r="E45" s="16">
        <v>112.794804</v>
      </c>
      <c r="F45" s="11">
        <f t="shared" si="2"/>
        <v>-6.601148818293638E-3</v>
      </c>
      <c r="G45" s="12">
        <f t="shared" si="3"/>
        <v>0.95866660466777098</v>
      </c>
      <c r="H45" s="16">
        <v>13.633735</v>
      </c>
      <c r="I45" s="11">
        <f t="shared" si="4"/>
        <v>-4.8929359601050876E-3</v>
      </c>
      <c r="J45" s="12">
        <f t="shared" si="5"/>
        <v>1.0596479776955066</v>
      </c>
    </row>
    <row r="46" spans="1:10" x14ac:dyDescent="0.45">
      <c r="A46" s="4">
        <v>40246</v>
      </c>
      <c r="B46" s="10">
        <v>29.792293000000001</v>
      </c>
      <c r="C46" s="11">
        <f t="shared" si="0"/>
        <v>1.7984407961713425E-2</v>
      </c>
      <c r="D46" s="12">
        <f t="shared" si="1"/>
        <v>1.0421007427832996</v>
      </c>
      <c r="E46" s="16">
        <v>112.02743100000001</v>
      </c>
      <c r="F46" s="11">
        <f t="shared" si="2"/>
        <v>-6.8032655121240525E-3</v>
      </c>
      <c r="G46" s="12">
        <f t="shared" si="3"/>
        <v>0.9521445412186097</v>
      </c>
      <c r="H46" s="16">
        <v>13.818087</v>
      </c>
      <c r="I46" s="11">
        <f t="shared" si="4"/>
        <v>1.3521753209960479E-2</v>
      </c>
      <c r="J46" s="12">
        <f t="shared" si="5"/>
        <v>1.073976276139339</v>
      </c>
    </row>
    <row r="47" spans="1:10" x14ac:dyDescent="0.45">
      <c r="A47" s="4">
        <v>40247</v>
      </c>
      <c r="B47" s="10">
        <v>30.035416999999999</v>
      </c>
      <c r="C47" s="11">
        <f t="shared" si="0"/>
        <v>8.1606340270619013E-3</v>
      </c>
      <c r="D47" s="12">
        <f t="shared" si="1"/>
        <v>1.0506049455644835</v>
      </c>
      <c r="E47" s="16">
        <v>112.08989099999999</v>
      </c>
      <c r="F47" s="11">
        <f t="shared" si="2"/>
        <v>5.5754201843642476E-4</v>
      </c>
      <c r="G47" s="12">
        <f t="shared" si="3"/>
        <v>0.95267540180796406</v>
      </c>
      <c r="H47" s="16">
        <v>13.834847</v>
      </c>
      <c r="I47" s="11">
        <f t="shared" si="4"/>
        <v>1.2129030595913648E-3</v>
      </c>
      <c r="J47" s="12">
        <f t="shared" si="5"/>
        <v>1.0752789052505969</v>
      </c>
    </row>
    <row r="48" spans="1:10" x14ac:dyDescent="0.45">
      <c r="A48" s="4">
        <v>40248</v>
      </c>
      <c r="B48" s="10">
        <v>30.12359</v>
      </c>
      <c r="C48" s="11">
        <f t="shared" si="0"/>
        <v>2.935634288014086E-3</v>
      </c>
      <c r="D48" s="12">
        <f t="shared" si="1"/>
        <v>1.0536891374658397</v>
      </c>
      <c r="E48" s="16">
        <v>113.856628</v>
      </c>
      <c r="F48" s="11">
        <f t="shared" si="2"/>
        <v>1.5761787117805355E-2</v>
      </c>
      <c r="G48" s="12">
        <f t="shared" si="3"/>
        <v>0.96769126868363076</v>
      </c>
      <c r="H48" s="16">
        <v>13.809707</v>
      </c>
      <c r="I48" s="11">
        <f t="shared" si="4"/>
        <v>-1.8171505619108317E-3</v>
      </c>
      <c r="J48" s="12">
        <f t="shared" si="5"/>
        <v>1.0733249615837099</v>
      </c>
    </row>
    <row r="49" spans="1:10" x14ac:dyDescent="0.45">
      <c r="A49" s="4">
        <v>40249</v>
      </c>
      <c r="B49" s="10">
        <v>30.270530000000001</v>
      </c>
      <c r="C49" s="11">
        <f t="shared" si="0"/>
        <v>4.8779046587740949E-3</v>
      </c>
      <c r="D49" s="12">
        <f t="shared" si="1"/>
        <v>1.058828932618384</v>
      </c>
      <c r="E49" s="16">
        <v>114.160011</v>
      </c>
      <c r="F49" s="11">
        <f t="shared" si="2"/>
        <v>2.6646055247657309E-3</v>
      </c>
      <c r="G49" s="12">
        <f t="shared" si="3"/>
        <v>0.97026978418443266</v>
      </c>
      <c r="H49" s="16">
        <v>14.278969999999999</v>
      </c>
      <c r="I49" s="11">
        <f t="shared" si="4"/>
        <v>3.3980663022032238E-2</v>
      </c>
      <c r="J49" s="12">
        <f t="shared" si="5"/>
        <v>1.1097972554164217</v>
      </c>
    </row>
    <row r="50" spans="1:10" x14ac:dyDescent="0.45">
      <c r="A50" s="4">
        <v>40252</v>
      </c>
      <c r="B50" s="10">
        <v>29.90183</v>
      </c>
      <c r="C50" s="11">
        <f t="shared" si="0"/>
        <v>-1.2180163346991298E-2</v>
      </c>
      <c r="D50" s="12">
        <f t="shared" si="1"/>
        <v>1.0459322232625716</v>
      </c>
      <c r="E50" s="16">
        <v>114.061859</v>
      </c>
      <c r="F50" s="11">
        <f t="shared" si="2"/>
        <v>-8.5977567048411475E-4</v>
      </c>
      <c r="G50" s="12">
        <f t="shared" si="3"/>
        <v>0.96943556983018497</v>
      </c>
      <c r="H50" s="16">
        <v>14.488462</v>
      </c>
      <c r="I50" s="11">
        <f t="shared" si="4"/>
        <v>1.467136635205487E-2</v>
      </c>
      <c r="J50" s="12">
        <f t="shared" si="5"/>
        <v>1.1260794975271409</v>
      </c>
    </row>
    <row r="51" spans="1:10" x14ac:dyDescent="0.45">
      <c r="A51" s="4">
        <v>40253</v>
      </c>
      <c r="B51" s="10">
        <v>29.983322999999999</v>
      </c>
      <c r="C51" s="11">
        <f t="shared" si="0"/>
        <v>2.7253515921934631E-3</v>
      </c>
      <c r="D51" s="12">
        <f t="shared" si="1"/>
        <v>1.0487827563125667</v>
      </c>
      <c r="E51" s="16">
        <v>114.81138199999999</v>
      </c>
      <c r="F51" s="11">
        <f t="shared" si="2"/>
        <v>6.5711974762746629E-3</v>
      </c>
      <c r="G51" s="12">
        <f t="shared" si="3"/>
        <v>0.97580592240006403</v>
      </c>
      <c r="H51" s="16">
        <v>15.142075999999999</v>
      </c>
      <c r="I51" s="11">
        <f t="shared" si="4"/>
        <v>4.5112724870313994E-2</v>
      </c>
      <c r="J51" s="12">
        <f t="shared" si="5"/>
        <v>1.1768800120811842</v>
      </c>
    </row>
    <row r="52" spans="1:10" x14ac:dyDescent="0.45">
      <c r="A52" s="4">
        <v>40254</v>
      </c>
      <c r="B52" s="10">
        <v>29.939233000000002</v>
      </c>
      <c r="C52" s="11">
        <f t="shared" si="0"/>
        <v>-1.4704841087826415E-3</v>
      </c>
      <c r="D52" s="12">
        <f t="shared" si="1"/>
        <v>1.0472405379358438</v>
      </c>
      <c r="E52" s="16">
        <v>113.999398</v>
      </c>
      <c r="F52" s="11">
        <f t="shared" si="2"/>
        <v>-7.0723301632236724E-3</v>
      </c>
      <c r="G52" s="12">
        <f t="shared" si="3"/>
        <v>0.96890470074162183</v>
      </c>
      <c r="H52" s="16">
        <v>15.116937999999999</v>
      </c>
      <c r="I52" s="11">
        <f t="shared" si="4"/>
        <v>-1.660142242054531E-3</v>
      </c>
      <c r="J52" s="12">
        <f t="shared" si="5"/>
        <v>1.1749262238592986</v>
      </c>
    </row>
    <row r="53" spans="1:10" x14ac:dyDescent="0.45">
      <c r="A53" s="4">
        <v>40255</v>
      </c>
      <c r="B53" s="10">
        <v>30.010041000000001</v>
      </c>
      <c r="C53" s="11">
        <f t="shared" si="0"/>
        <v>2.3650572477925381E-3</v>
      </c>
      <c r="D53" s="12">
        <f t="shared" si="1"/>
        <v>1.0497173217602711</v>
      </c>
      <c r="E53" s="16">
        <v>114.552623</v>
      </c>
      <c r="F53" s="11">
        <f t="shared" si="2"/>
        <v>4.8528765037864291E-3</v>
      </c>
      <c r="G53" s="12">
        <f t="shared" si="3"/>
        <v>0.9736066755982592</v>
      </c>
      <c r="H53" s="16">
        <v>15.242633</v>
      </c>
      <c r="I53" s="11">
        <f t="shared" si="4"/>
        <v>8.3148452418075891E-3</v>
      </c>
      <c r="J53" s="12">
        <f t="shared" si="5"/>
        <v>1.18469555358123</v>
      </c>
    </row>
    <row r="54" spans="1:10" x14ac:dyDescent="0.45">
      <c r="A54" s="4">
        <v>40256</v>
      </c>
      <c r="B54" s="10">
        <v>29.689430999999999</v>
      </c>
      <c r="C54" s="11">
        <f t="shared" si="0"/>
        <v>-1.0683424257900949E-2</v>
      </c>
      <c r="D54" s="12">
        <f t="shared" si="1"/>
        <v>1.0385027462610386</v>
      </c>
      <c r="E54" s="16">
        <v>113.954781</v>
      </c>
      <c r="F54" s="11">
        <f t="shared" si="2"/>
        <v>-5.2189289458697075E-3</v>
      </c>
      <c r="G54" s="12">
        <f t="shared" si="3"/>
        <v>0.96852549153708745</v>
      </c>
      <c r="H54" s="16">
        <v>15.142075999999999</v>
      </c>
      <c r="I54" s="11">
        <f t="shared" si="4"/>
        <v>-6.5970885738704218E-3</v>
      </c>
      <c r="J54" s="12">
        <f t="shared" si="5"/>
        <v>1.1768800120811842</v>
      </c>
    </row>
    <row r="55" spans="1:10" x14ac:dyDescent="0.45">
      <c r="A55" s="4">
        <v>40259</v>
      </c>
      <c r="B55" s="10">
        <v>30.023392999999999</v>
      </c>
      <c r="C55" s="11">
        <f t="shared" si="0"/>
        <v>1.1248514665033481E-2</v>
      </c>
      <c r="D55" s="12">
        <f t="shared" si="1"/>
        <v>1.0501843596320333</v>
      </c>
      <c r="E55" s="16">
        <v>114.19570400000001</v>
      </c>
      <c r="F55" s="11">
        <f t="shared" si="2"/>
        <v>2.1141982625547703E-3</v>
      </c>
      <c r="G55" s="12">
        <f t="shared" si="3"/>
        <v>0.97057314644853521</v>
      </c>
      <c r="H55" s="16">
        <v>15.142075999999999</v>
      </c>
      <c r="I55" s="11">
        <f t="shared" si="4"/>
        <v>0</v>
      </c>
      <c r="J55" s="12">
        <f t="shared" si="5"/>
        <v>1.1768800120811842</v>
      </c>
    </row>
    <row r="56" spans="1:10" x14ac:dyDescent="0.45">
      <c r="A56" s="4">
        <v>40260</v>
      </c>
      <c r="B56" s="10">
        <v>30.505642999999999</v>
      </c>
      <c r="C56" s="11">
        <f t="shared" si="0"/>
        <v>1.6062475017397285E-2</v>
      </c>
      <c r="D56" s="12">
        <f t="shared" si="1"/>
        <v>1.067052919672284</v>
      </c>
      <c r="E56" s="16">
        <v>115.435984</v>
      </c>
      <c r="F56" s="11">
        <f t="shared" si="2"/>
        <v>1.0861004018154645E-2</v>
      </c>
      <c r="G56" s="12">
        <f t="shared" si="3"/>
        <v>0.9811145452920258</v>
      </c>
      <c r="H56" s="16">
        <v>15.359947999999999</v>
      </c>
      <c r="I56" s="11">
        <f t="shared" si="4"/>
        <v>1.4388515815136567E-2</v>
      </c>
      <c r="J56" s="12">
        <f t="shared" si="5"/>
        <v>1.1938135687475326</v>
      </c>
    </row>
    <row r="57" spans="1:10" x14ac:dyDescent="0.45">
      <c r="A57" s="4">
        <v>40261</v>
      </c>
      <c r="B57" s="10">
        <v>30.640559</v>
      </c>
      <c r="C57" s="11">
        <f t="shared" si="0"/>
        <v>4.4226571457615391E-3</v>
      </c>
      <c r="D57" s="12">
        <f t="shared" si="1"/>
        <v>1.0717721288923783</v>
      </c>
      <c r="E57" s="16">
        <v>114.68646099999999</v>
      </c>
      <c r="F57" s="11">
        <f t="shared" si="2"/>
        <v>-6.4929753619981318E-3</v>
      </c>
      <c r="G57" s="12">
        <f t="shared" si="3"/>
        <v>0.97474419272214674</v>
      </c>
      <c r="H57" s="16">
        <v>15.460504999999999</v>
      </c>
      <c r="I57" s="11">
        <f t="shared" si="4"/>
        <v>6.5467018508135726E-3</v>
      </c>
      <c r="J57" s="12">
        <f t="shared" si="5"/>
        <v>1.2016291102475785</v>
      </c>
    </row>
    <row r="58" spans="1:10" x14ac:dyDescent="0.45">
      <c r="A58" s="4">
        <v>40262</v>
      </c>
      <c r="B58" s="10">
        <v>30.277208000000002</v>
      </c>
      <c r="C58" s="11">
        <f t="shared" si="0"/>
        <v>-1.1858497751297487E-2</v>
      </c>
      <c r="D58" s="12">
        <f t="shared" si="1"/>
        <v>1.0590625215120046</v>
      </c>
      <c r="E58" s="16">
        <v>115.31999500000001</v>
      </c>
      <c r="F58" s="11">
        <f t="shared" si="2"/>
        <v>5.5240522244383462E-3</v>
      </c>
      <c r="G58" s="12">
        <f t="shared" si="3"/>
        <v>0.98012873054821192</v>
      </c>
      <c r="H58" s="16">
        <v>15.334808000000001</v>
      </c>
      <c r="I58" s="11">
        <f t="shared" si="4"/>
        <v>-8.1302001454673593E-3</v>
      </c>
      <c r="J58" s="12">
        <f t="shared" si="5"/>
        <v>1.1918596250806457</v>
      </c>
    </row>
    <row r="59" spans="1:10" x14ac:dyDescent="0.45">
      <c r="A59" s="4">
        <v>40263</v>
      </c>
      <c r="B59" s="10">
        <v>30.844944000000002</v>
      </c>
      <c r="C59" s="11">
        <f t="shared" si="0"/>
        <v>1.8751266629340461E-2</v>
      </c>
      <c r="D59" s="12">
        <f t="shared" si="1"/>
        <v>1.0789212852300181</v>
      </c>
      <c r="E59" s="16">
        <v>115.33783099999999</v>
      </c>
      <c r="F59" s="11">
        <f t="shared" si="2"/>
        <v>1.5466528592884881E-4</v>
      </c>
      <c r="G59" s="12">
        <f t="shared" si="3"/>
        <v>0.98028032243856922</v>
      </c>
      <c r="H59" s="16">
        <v>15.368328</v>
      </c>
      <c r="I59" s="11">
        <f t="shared" si="4"/>
        <v>2.1858767322029287E-3</v>
      </c>
      <c r="J59" s="12">
        <f t="shared" si="5"/>
        <v>1.1944648833031617</v>
      </c>
    </row>
    <row r="60" spans="1:10" x14ac:dyDescent="0.45">
      <c r="A60" s="4">
        <v>40266</v>
      </c>
      <c r="B60" s="10">
        <v>31.043990000000001</v>
      </c>
      <c r="C60" s="11">
        <f t="shared" si="0"/>
        <v>6.4531159466523639E-3</v>
      </c>
      <c r="D60" s="12">
        <f t="shared" si="1"/>
        <v>1.0858836893809185</v>
      </c>
      <c r="E60" s="16">
        <v>114.739997</v>
      </c>
      <c r="F60" s="11">
        <f t="shared" si="2"/>
        <v>-5.1833296570315407E-3</v>
      </c>
      <c r="G60" s="12">
        <f t="shared" si="3"/>
        <v>0.97519920637106894</v>
      </c>
      <c r="H60" s="16">
        <v>15.418604999999999</v>
      </c>
      <c r="I60" s="11">
        <f t="shared" si="4"/>
        <v>3.2714684382061251E-3</v>
      </c>
      <c r="J60" s="12">
        <f t="shared" si="5"/>
        <v>1.1983725374694334</v>
      </c>
    </row>
    <row r="61" spans="1:10" x14ac:dyDescent="0.45">
      <c r="A61" s="4">
        <v>40267</v>
      </c>
      <c r="B61" s="10">
        <v>31.5062</v>
      </c>
      <c r="C61" s="11">
        <f t="shared" si="0"/>
        <v>1.4888872210047706E-2</v>
      </c>
      <c r="D61" s="12">
        <f t="shared" si="1"/>
        <v>1.1020512728670862</v>
      </c>
      <c r="E61" s="16">
        <v>114.900616</v>
      </c>
      <c r="F61" s="11">
        <f t="shared" si="2"/>
        <v>1.3998518755408103E-3</v>
      </c>
      <c r="G61" s="12">
        <f t="shared" si="3"/>
        <v>0.97656434080913324</v>
      </c>
      <c r="H61" s="16">
        <v>15.334808000000001</v>
      </c>
      <c r="I61" s="11">
        <f t="shared" si="4"/>
        <v>-5.4347977654268199E-3</v>
      </c>
      <c r="J61" s="12">
        <f t="shared" si="5"/>
        <v>1.1918596250806457</v>
      </c>
    </row>
    <row r="62" spans="1:10" x14ac:dyDescent="0.45">
      <c r="A62" s="4">
        <v>40268</v>
      </c>
      <c r="B62" s="10">
        <v>31.392651000000001</v>
      </c>
      <c r="C62" s="11">
        <f t="shared" si="0"/>
        <v>-3.6040207959068061E-3</v>
      </c>
      <c r="D62" s="12">
        <f t="shared" si="1"/>
        <v>1.0980794571615176</v>
      </c>
      <c r="E62" s="16">
        <v>114.43662</v>
      </c>
      <c r="F62" s="11">
        <f t="shared" si="2"/>
        <v>-4.0382377062277413E-3</v>
      </c>
      <c r="G62" s="12">
        <f t="shared" si="3"/>
        <v>0.97262074186552039</v>
      </c>
      <c r="H62" s="16">
        <v>15.251013</v>
      </c>
      <c r="I62" s="11">
        <f t="shared" si="4"/>
        <v>-5.4643657749089709E-3</v>
      </c>
      <c r="J62" s="12">
        <f t="shared" si="5"/>
        <v>1.1853468681368593</v>
      </c>
    </row>
    <row r="63" spans="1:10" x14ac:dyDescent="0.45">
      <c r="A63" s="4">
        <v>40269</v>
      </c>
      <c r="B63" s="10">
        <v>31.522227000000001</v>
      </c>
      <c r="C63" s="11">
        <f t="shared" si="0"/>
        <v>4.1275902439714355E-3</v>
      </c>
      <c r="D63" s="12">
        <f t="shared" si="1"/>
        <v>1.1026118792160029</v>
      </c>
      <c r="E63" s="16">
        <v>114.43662</v>
      </c>
      <c r="F63" s="11">
        <f t="shared" si="2"/>
        <v>0</v>
      </c>
      <c r="G63" s="12">
        <f t="shared" si="3"/>
        <v>0.97262074186552039</v>
      </c>
      <c r="H63" s="16">
        <v>15.359947999999999</v>
      </c>
      <c r="I63" s="11">
        <f t="shared" si="4"/>
        <v>7.1428042189721356E-3</v>
      </c>
      <c r="J63" s="12">
        <f t="shared" si="5"/>
        <v>1.1938135687475326</v>
      </c>
    </row>
    <row r="64" spans="1:10" x14ac:dyDescent="0.45">
      <c r="A64" s="4">
        <v>40273</v>
      </c>
      <c r="B64" s="10">
        <v>31.858862999999999</v>
      </c>
      <c r="C64" s="11">
        <f t="shared" si="0"/>
        <v>1.0679321610113353E-2</v>
      </c>
      <c r="D64" s="12">
        <f t="shared" si="1"/>
        <v>1.114387026085282</v>
      </c>
      <c r="E64" s="16">
        <v>115.418148</v>
      </c>
      <c r="F64" s="11">
        <f t="shared" si="2"/>
        <v>8.5770446558103269E-3</v>
      </c>
      <c r="G64" s="12">
        <f t="shared" si="3"/>
        <v>0.98096295340166817</v>
      </c>
      <c r="H64" s="16">
        <v>15.527542</v>
      </c>
      <c r="I64" s="11">
        <f t="shared" si="4"/>
        <v>1.0911104646968931E-2</v>
      </c>
      <c r="J64" s="12">
        <f t="shared" si="5"/>
        <v>1.2068393935251085</v>
      </c>
    </row>
    <row r="65" spans="1:10" x14ac:dyDescent="0.45">
      <c r="A65" s="4">
        <v>40274</v>
      </c>
      <c r="B65" s="10">
        <v>31.999130000000001</v>
      </c>
      <c r="C65" s="11">
        <f t="shared" si="0"/>
        <v>4.4027622705807637E-3</v>
      </c>
      <c r="D65" s="12">
        <f t="shared" si="1"/>
        <v>1.1192934072385547</v>
      </c>
      <c r="E65" s="16">
        <v>115.043373</v>
      </c>
      <c r="F65" s="11">
        <f t="shared" si="2"/>
        <v>-3.2471063389441983E-3</v>
      </c>
      <c r="G65" s="12">
        <f t="shared" si="3"/>
        <v>0.97777766237740815</v>
      </c>
      <c r="H65" s="16">
        <v>15.586199000000001</v>
      </c>
      <c r="I65" s="11">
        <f t="shared" si="4"/>
        <v>3.7776101330139812E-3</v>
      </c>
      <c r="J65" s="12">
        <f t="shared" si="5"/>
        <v>1.2113983622470095</v>
      </c>
    </row>
    <row r="66" spans="1:10" x14ac:dyDescent="0.45">
      <c r="A66" s="4">
        <v>40275</v>
      </c>
      <c r="B66" s="10">
        <v>32.140729999999998</v>
      </c>
      <c r="C66" s="11">
        <f t="shared" si="0"/>
        <v>4.4251203079582737E-3</v>
      </c>
      <c r="D66" s="12">
        <f t="shared" si="1"/>
        <v>1.1242464152254898</v>
      </c>
      <c r="E66" s="16">
        <v>114.64184400000001</v>
      </c>
      <c r="F66" s="11">
        <f t="shared" si="2"/>
        <v>-3.4902401549022424E-3</v>
      </c>
      <c r="G66" s="12">
        <f t="shared" si="3"/>
        <v>0.97436498351761203</v>
      </c>
      <c r="H66" s="16">
        <v>15.502402</v>
      </c>
      <c r="I66" s="11">
        <f t="shared" si="4"/>
        <v>-5.3763589185535591E-3</v>
      </c>
      <c r="J66" s="12">
        <f t="shared" si="5"/>
        <v>1.2048854498582215</v>
      </c>
    </row>
    <row r="67" spans="1:10" x14ac:dyDescent="0.45">
      <c r="A67" s="4">
        <v>40276</v>
      </c>
      <c r="B67" s="10">
        <v>32.053896000000002</v>
      </c>
      <c r="C67" s="11">
        <f t="shared" si="0"/>
        <v>-2.7016810134678363E-3</v>
      </c>
      <c r="D67" s="12">
        <f t="shared" si="1"/>
        <v>1.1212090600310158</v>
      </c>
      <c r="E67" s="16">
        <v>113.86555300000001</v>
      </c>
      <c r="F67" s="11">
        <f t="shared" si="2"/>
        <v>-6.7714455116405876E-3</v>
      </c>
      <c r="G67" s="12">
        <f t="shared" si="3"/>
        <v>0.96776712412327193</v>
      </c>
      <c r="H67" s="16">
        <v>15.552680000000001</v>
      </c>
      <c r="I67" s="11">
        <f t="shared" si="4"/>
        <v>3.2432393380071351E-3</v>
      </c>
      <c r="J67" s="12">
        <f t="shared" si="5"/>
        <v>1.2087931817469941</v>
      </c>
    </row>
    <row r="68" spans="1:10" x14ac:dyDescent="0.45">
      <c r="A68" s="4">
        <v>40277</v>
      </c>
      <c r="B68" s="10">
        <v>32.299698999999997</v>
      </c>
      <c r="C68" s="11">
        <f t="shared" ref="C68:C127" si="6">(B68-B67) / B67</f>
        <v>7.6684281998043264E-3</v>
      </c>
      <c r="D68" s="12">
        <f t="shared" ref="D68:D127" si="7">D67*(1+C68)</f>
        <v>1.1298069712048338</v>
      </c>
      <c r="E68" s="16">
        <v>114.891685</v>
      </c>
      <c r="F68" s="11">
        <f t="shared" ref="F68:F127" si="8">(E68-E67)/E67</f>
        <v>9.0117860315488893E-3</v>
      </c>
      <c r="G68" s="12">
        <f t="shared" ref="G68:G127" si="9">G67*(1+F68)</f>
        <v>0.97648843437423827</v>
      </c>
      <c r="H68" s="16">
        <v>15.519162</v>
      </c>
      <c r="I68" s="11">
        <f t="shared" ref="I68:I127" si="10">(H68-H67)/H67</f>
        <v>-2.1551269620413219E-3</v>
      </c>
      <c r="J68" s="12">
        <f t="shared" ref="J68:J127" si="11">J67*(1+I68)</f>
        <v>1.2061880789694794</v>
      </c>
    </row>
    <row r="69" spans="1:10" x14ac:dyDescent="0.45">
      <c r="A69" s="4">
        <v>40280</v>
      </c>
      <c r="B69" s="10">
        <v>32.366494000000003</v>
      </c>
      <c r="C69" s="11">
        <f t="shared" si="6"/>
        <v>2.06797592757772E-3</v>
      </c>
      <c r="D69" s="12">
        <f t="shared" si="7"/>
        <v>1.1321433848240947</v>
      </c>
      <c r="E69" s="16">
        <v>114.534773</v>
      </c>
      <c r="F69" s="11">
        <f t="shared" si="8"/>
        <v>-3.106508534538371E-3</v>
      </c>
      <c r="G69" s="12">
        <f t="shared" si="9"/>
        <v>0.97345496471897663</v>
      </c>
      <c r="H69" s="16">
        <v>15.678375000000001</v>
      </c>
      <c r="I69" s="11">
        <f t="shared" si="10"/>
        <v>1.0259123527417341E-2</v>
      </c>
      <c r="J69" s="12">
        <f t="shared" si="11"/>
        <v>1.2185625114689256</v>
      </c>
    </row>
    <row r="70" spans="1:10" x14ac:dyDescent="0.45">
      <c r="A70" s="4">
        <v>40281</v>
      </c>
      <c r="B70" s="10">
        <v>32.385193000000001</v>
      </c>
      <c r="C70" s="11">
        <f t="shared" si="6"/>
        <v>5.7772707788486522E-4</v>
      </c>
      <c r="D70" s="12">
        <f t="shared" si="7"/>
        <v>1.1327974547135558</v>
      </c>
      <c r="E70" s="16">
        <v>115.132608</v>
      </c>
      <c r="F70" s="11">
        <f t="shared" si="8"/>
        <v>5.2196811880004636E-3</v>
      </c>
      <c r="G70" s="12">
        <f t="shared" si="9"/>
        <v>0.97853608928568603</v>
      </c>
      <c r="H70" s="16">
        <v>15.879488</v>
      </c>
      <c r="I70" s="11">
        <f t="shared" si="10"/>
        <v>1.2827413555295075E-2</v>
      </c>
      <c r="J70" s="12">
        <f t="shared" si="11"/>
        <v>1.2341935167465163</v>
      </c>
    </row>
    <row r="71" spans="1:10" x14ac:dyDescent="0.45">
      <c r="A71" s="4">
        <v>40282</v>
      </c>
      <c r="B71" s="10">
        <v>32.820681</v>
      </c>
      <c r="C71" s="11">
        <f t="shared" si="6"/>
        <v>1.3447133077144218E-2</v>
      </c>
      <c r="D71" s="12">
        <f t="shared" si="7"/>
        <v>1.1480303328365391</v>
      </c>
      <c r="E71" s="16">
        <v>117.1135</v>
      </c>
      <c r="F71" s="11">
        <f t="shared" si="8"/>
        <v>1.7205308160829616E-2</v>
      </c>
      <c r="G71" s="12">
        <f t="shared" si="9"/>
        <v>0.99537210424833933</v>
      </c>
      <c r="H71" s="16">
        <v>16.214675</v>
      </c>
      <c r="I71" s="11">
        <f t="shared" si="10"/>
        <v>2.1108174268590994E-2</v>
      </c>
      <c r="J71" s="12">
        <f t="shared" si="11"/>
        <v>1.2602450885791669</v>
      </c>
    </row>
    <row r="72" spans="1:10" x14ac:dyDescent="0.45">
      <c r="A72" s="4">
        <v>40283</v>
      </c>
      <c r="B72" s="10">
        <v>33.252164</v>
      </c>
      <c r="C72" s="11">
        <f t="shared" si="6"/>
        <v>1.3146680289784361E-2</v>
      </c>
      <c r="D72" s="12">
        <f t="shared" si="7"/>
        <v>1.1631231205853159</v>
      </c>
      <c r="E72" s="16">
        <v>116.79227400000001</v>
      </c>
      <c r="F72" s="11">
        <f t="shared" si="8"/>
        <v>-2.7428605583472085E-3</v>
      </c>
      <c r="G72" s="12">
        <f t="shared" si="9"/>
        <v>0.99264193736271755</v>
      </c>
      <c r="H72" s="16">
        <v>16.34037</v>
      </c>
      <c r="I72" s="11">
        <f t="shared" si="10"/>
        <v>7.7519284228638767E-3</v>
      </c>
      <c r="J72" s="12">
        <f t="shared" si="11"/>
        <v>1.2700144183010986</v>
      </c>
    </row>
    <row r="73" spans="1:10" x14ac:dyDescent="0.45">
      <c r="A73" s="4">
        <v>40284</v>
      </c>
      <c r="B73" s="10">
        <v>33.049115999999998</v>
      </c>
      <c r="C73" s="11">
        <f t="shared" si="6"/>
        <v>-6.1063093517764004E-3</v>
      </c>
      <c r="D73" s="12">
        <f t="shared" si="7"/>
        <v>1.1560207309968185</v>
      </c>
      <c r="E73" s="16">
        <v>116.560283</v>
      </c>
      <c r="F73" s="11">
        <f t="shared" si="8"/>
        <v>-1.9863557070565114E-3</v>
      </c>
      <c r="G73" s="12">
        <f t="shared" si="9"/>
        <v>0.99067019738537343</v>
      </c>
      <c r="H73" s="16">
        <v>15.896247000000001</v>
      </c>
      <c r="I73" s="11">
        <f t="shared" si="10"/>
        <v>-2.7179494711564021E-2</v>
      </c>
      <c r="J73" s="12">
        <f t="shared" si="11"/>
        <v>1.2354960681352738</v>
      </c>
    </row>
    <row r="74" spans="1:10" x14ac:dyDescent="0.45">
      <c r="A74" s="4">
        <v>40287</v>
      </c>
      <c r="B74" s="10">
        <v>33.005026999999998</v>
      </c>
      <c r="C74" s="11">
        <f t="shared" si="6"/>
        <v>-1.3340447593212358E-3</v>
      </c>
      <c r="D74" s="12">
        <f t="shared" si="7"/>
        <v>1.1544785475989654</v>
      </c>
      <c r="E74" s="16">
        <v>117.987944</v>
      </c>
      <c r="F74" s="11">
        <f t="shared" si="8"/>
        <v>1.2248262986801435E-2</v>
      </c>
      <c r="G74" s="12">
        <f t="shared" si="9"/>
        <v>1.0028041864961361</v>
      </c>
      <c r="H74" s="16">
        <v>15.871109000000001</v>
      </c>
      <c r="I74" s="11">
        <f t="shared" si="10"/>
        <v>-1.5813795545577584E-3</v>
      </c>
      <c r="J74" s="12">
        <f t="shared" si="11"/>
        <v>1.2335422799133882</v>
      </c>
    </row>
    <row r="75" spans="1:10" x14ac:dyDescent="0.45">
      <c r="A75" s="4">
        <v>40288</v>
      </c>
      <c r="B75" s="10">
        <v>32.673737000000003</v>
      </c>
      <c r="C75" s="11">
        <f t="shared" si="6"/>
        <v>-1.0037561853835043E-2</v>
      </c>
      <c r="D75" s="12">
        <f t="shared" si="7"/>
        <v>1.1428903977685152</v>
      </c>
      <c r="E75" s="16">
        <v>115.721525</v>
      </c>
      <c r="F75" s="11">
        <f t="shared" si="8"/>
        <v>-1.9208903241843073E-2</v>
      </c>
      <c r="G75" s="12">
        <f t="shared" si="9"/>
        <v>0.98354141790721661</v>
      </c>
      <c r="H75" s="16">
        <v>15.921386</v>
      </c>
      <c r="I75" s="11">
        <f t="shared" si="10"/>
        <v>3.1678315611088966E-3</v>
      </c>
      <c r="J75" s="12">
        <f t="shared" si="11"/>
        <v>1.2374499340796601</v>
      </c>
    </row>
    <row r="76" spans="1:10" x14ac:dyDescent="0.45">
      <c r="A76" s="4">
        <v>40289</v>
      </c>
      <c r="B76" s="10">
        <v>34.628096999999997</v>
      </c>
      <c r="C76" s="11">
        <f t="shared" si="6"/>
        <v>5.9814400783111954E-2</v>
      </c>
      <c r="D76" s="12">
        <f t="shared" si="7"/>
        <v>1.2112517020718112</v>
      </c>
      <c r="E76" s="16">
        <v>115.09692200000001</v>
      </c>
      <c r="F76" s="11">
        <f t="shared" si="8"/>
        <v>-5.3974660288999251E-3</v>
      </c>
      <c r="G76" s="12">
        <f t="shared" si="9"/>
        <v>0.97823278651604639</v>
      </c>
      <c r="H76" s="16">
        <v>15.946526</v>
      </c>
      <c r="I76" s="11">
        <f t="shared" si="10"/>
        <v>1.5790082597080671E-3</v>
      </c>
      <c r="J76" s="12">
        <f t="shared" si="11"/>
        <v>1.239403877746547</v>
      </c>
    </row>
    <row r="77" spans="1:10" x14ac:dyDescent="0.45">
      <c r="A77" s="4">
        <v>40290</v>
      </c>
      <c r="B77" s="10">
        <v>35.596589000000002</v>
      </c>
      <c r="C77" s="11">
        <f t="shared" si="6"/>
        <v>2.7968386481070702E-2</v>
      </c>
      <c r="D77" s="12">
        <f t="shared" si="7"/>
        <v>1.2451284578012103</v>
      </c>
      <c r="E77" s="16">
        <v>115.22184300000001</v>
      </c>
      <c r="F77" s="11">
        <f t="shared" si="8"/>
        <v>1.0853548281682154E-3</v>
      </c>
      <c r="G77" s="12">
        <f t="shared" si="9"/>
        <v>0.97929451619396402</v>
      </c>
      <c r="H77" s="16">
        <v>15.879488</v>
      </c>
      <c r="I77" s="11">
        <f t="shared" si="10"/>
        <v>-4.2039250429842931E-3</v>
      </c>
      <c r="J77" s="12">
        <f t="shared" si="11"/>
        <v>1.2341935167465166</v>
      </c>
    </row>
    <row r="78" spans="1:10" x14ac:dyDescent="0.45">
      <c r="A78" s="4">
        <v>40291</v>
      </c>
      <c r="B78" s="10">
        <v>36.179025000000003</v>
      </c>
      <c r="C78" s="11">
        <f t="shared" si="6"/>
        <v>1.6362129528759099E-2</v>
      </c>
      <c r="D78" s="12">
        <f t="shared" si="7"/>
        <v>1.2655014109076976</v>
      </c>
      <c r="E78" s="16">
        <v>115.989215</v>
      </c>
      <c r="F78" s="11">
        <f t="shared" si="8"/>
        <v>6.659952488348885E-3</v>
      </c>
      <c r="G78" s="12">
        <f t="shared" si="9"/>
        <v>0.98581657114391641</v>
      </c>
      <c r="H78" s="16">
        <v>15.980043999999999</v>
      </c>
      <c r="I78" s="11">
        <f t="shared" si="10"/>
        <v>6.3324459831449985E-3</v>
      </c>
      <c r="J78" s="12">
        <f t="shared" si="11"/>
        <v>1.2420089805240617</v>
      </c>
    </row>
    <row r="79" spans="1:10" x14ac:dyDescent="0.45">
      <c r="A79" s="4">
        <v>40294</v>
      </c>
      <c r="B79" s="10">
        <v>36.001358000000003</v>
      </c>
      <c r="C79" s="11">
        <f t="shared" si="6"/>
        <v>-4.9107735766787406E-3</v>
      </c>
      <c r="D79" s="12">
        <f t="shared" si="7"/>
        <v>1.2592868200177625</v>
      </c>
      <c r="E79" s="16">
        <v>116.64950399999999</v>
      </c>
      <c r="F79" s="11">
        <f t="shared" si="8"/>
        <v>5.6926758233512634E-3</v>
      </c>
      <c r="G79" s="12">
        <f t="shared" si="9"/>
        <v>0.99142850530472648</v>
      </c>
      <c r="H79" s="16">
        <v>16.172775999999999</v>
      </c>
      <c r="I79" s="11">
        <f t="shared" si="10"/>
        <v>1.2060792823849514E-2</v>
      </c>
      <c r="J79" s="12">
        <f t="shared" si="11"/>
        <v>1.2569885935235228</v>
      </c>
    </row>
    <row r="80" spans="1:10" x14ac:dyDescent="0.45">
      <c r="A80" s="4">
        <v>40295</v>
      </c>
      <c r="B80" s="10">
        <v>35.004814000000003</v>
      </c>
      <c r="C80" s="11">
        <f t="shared" si="6"/>
        <v>-2.7680733598993684E-2</v>
      </c>
      <c r="D80" s="12">
        <f t="shared" si="7"/>
        <v>1.2244288370281269</v>
      </c>
      <c r="E80" s="16">
        <v>114.945234</v>
      </c>
      <c r="F80" s="11">
        <f t="shared" si="8"/>
        <v>-1.4610177853820914E-2</v>
      </c>
      <c r="G80" s="12">
        <f t="shared" si="9"/>
        <v>0.97694355851287662</v>
      </c>
      <c r="H80" s="16">
        <v>15.669997</v>
      </c>
      <c r="I80" s="11">
        <f t="shared" si="10"/>
        <v>-3.1087983905793204E-2</v>
      </c>
      <c r="J80" s="12">
        <f t="shared" si="11"/>
        <v>1.2179113523582978</v>
      </c>
    </row>
    <row r="81" spans="1:10" x14ac:dyDescent="0.45">
      <c r="A81" s="4">
        <v>40296</v>
      </c>
      <c r="B81" s="10">
        <v>34.946030999999998</v>
      </c>
      <c r="C81" s="11">
        <f t="shared" si="6"/>
        <v>-1.679283312289714E-3</v>
      </c>
      <c r="D81" s="12">
        <f t="shared" si="7"/>
        <v>1.2223726741150192</v>
      </c>
      <c r="E81" s="16">
        <v>116.087368</v>
      </c>
      <c r="F81" s="11">
        <f t="shared" si="8"/>
        <v>9.9363319404787032E-3</v>
      </c>
      <c r="G81" s="12">
        <f t="shared" si="9"/>
        <v>0.98665079399737299</v>
      </c>
      <c r="H81" s="16">
        <v>15.879488</v>
      </c>
      <c r="I81" s="11">
        <f t="shared" si="10"/>
        <v>1.3368924065524701E-2</v>
      </c>
      <c r="J81" s="12">
        <f t="shared" si="11"/>
        <v>1.2341935167465166</v>
      </c>
    </row>
    <row r="82" spans="1:10" x14ac:dyDescent="0.45">
      <c r="A82" s="4">
        <v>40297</v>
      </c>
      <c r="B82" s="10">
        <v>35.886471</v>
      </c>
      <c r="C82" s="11">
        <f t="shared" si="6"/>
        <v>2.6911210603573335E-2</v>
      </c>
      <c r="D82" s="12">
        <f t="shared" si="7"/>
        <v>1.2552682025841817</v>
      </c>
      <c r="E82" s="16">
        <v>116.40859399999999</v>
      </c>
      <c r="F82" s="11">
        <f t="shared" si="8"/>
        <v>2.7671055476078655E-3</v>
      </c>
      <c r="G82" s="12">
        <f t="shared" si="9"/>
        <v>0.98938096088299488</v>
      </c>
      <c r="H82" s="16">
        <v>16.331990000000001</v>
      </c>
      <c r="I82" s="11">
        <f t="shared" si="10"/>
        <v>2.8496006924152772E-2</v>
      </c>
      <c r="J82" s="12">
        <f t="shared" si="11"/>
        <v>1.2693631037454698</v>
      </c>
    </row>
    <row r="83" spans="1:10" x14ac:dyDescent="0.45">
      <c r="A83" s="4">
        <v>40298</v>
      </c>
      <c r="B83" s="10">
        <v>34.877898999999999</v>
      </c>
      <c r="C83" s="11">
        <f t="shared" si="6"/>
        <v>-2.8104518831065916E-2</v>
      </c>
      <c r="D83" s="12">
        <f t="shared" si="7"/>
        <v>1.2199894937466162</v>
      </c>
      <c r="E83" s="16">
        <v>115.10584</v>
      </c>
      <c r="F83" s="11">
        <f t="shared" si="8"/>
        <v>-1.1191218407809247E-2</v>
      </c>
      <c r="G83" s="12">
        <f t="shared" si="9"/>
        <v>0.9783085824612251</v>
      </c>
      <c r="H83" s="16">
        <v>15.804071</v>
      </c>
      <c r="I83" s="11">
        <f t="shared" si="10"/>
        <v>-3.2324229931563801E-2</v>
      </c>
      <c r="J83" s="12">
        <f t="shared" si="11"/>
        <v>1.2283319189133577</v>
      </c>
    </row>
    <row r="84" spans="1:10" x14ac:dyDescent="0.45">
      <c r="A84" s="4">
        <v>40301</v>
      </c>
      <c r="B84" s="10">
        <v>35.580562</v>
      </c>
      <c r="C84" s="11">
        <f t="shared" si="6"/>
        <v>2.0146368334858736E-2</v>
      </c>
      <c r="D84" s="12">
        <f t="shared" si="7"/>
        <v>1.2445678514522935</v>
      </c>
      <c r="E84" s="16">
        <v>115.641222</v>
      </c>
      <c r="F84" s="11">
        <f t="shared" si="8"/>
        <v>4.65121491663671E-3</v>
      </c>
      <c r="G84" s="12">
        <f t="shared" si="9"/>
        <v>0.98285890593304237</v>
      </c>
      <c r="H84" s="16">
        <v>16.139258000000002</v>
      </c>
      <c r="I84" s="11">
        <f t="shared" si="10"/>
        <v>2.1208902440390278E-2</v>
      </c>
      <c r="J84" s="12">
        <f t="shared" si="11"/>
        <v>1.2543834907460085</v>
      </c>
    </row>
    <row r="85" spans="1:10" x14ac:dyDescent="0.45">
      <c r="A85" s="4">
        <v>40302</v>
      </c>
      <c r="B85" s="10">
        <v>34.555962000000001</v>
      </c>
      <c r="C85" s="11">
        <f t="shared" si="6"/>
        <v>-2.8796622155659021E-2</v>
      </c>
      <c r="D85" s="12">
        <f t="shared" si="7"/>
        <v>1.2087285012869415</v>
      </c>
      <c r="E85" s="16">
        <v>114.320618</v>
      </c>
      <c r="F85" s="11">
        <f t="shared" si="8"/>
        <v>-1.1419837815273198E-2</v>
      </c>
      <c r="G85" s="12">
        <f t="shared" si="9"/>
        <v>0.97163481663199014</v>
      </c>
      <c r="H85" s="16">
        <v>15.56944</v>
      </c>
      <c r="I85" s="11">
        <f t="shared" si="10"/>
        <v>-3.5306331926783834E-2</v>
      </c>
      <c r="J85" s="12">
        <f t="shared" si="11"/>
        <v>1.2100958108582522</v>
      </c>
    </row>
    <row r="86" spans="1:10" x14ac:dyDescent="0.45">
      <c r="A86" s="4">
        <v>40303</v>
      </c>
      <c r="B86" s="10">
        <v>34.196613999999997</v>
      </c>
      <c r="C86" s="11">
        <f t="shared" si="6"/>
        <v>-1.0399015949838242E-2</v>
      </c>
      <c r="D86" s="12">
        <f t="shared" si="7"/>
        <v>1.1961589143230345</v>
      </c>
      <c r="E86" s="16">
        <v>113.731708</v>
      </c>
      <c r="F86" s="11">
        <f t="shared" si="8"/>
        <v>-5.1513892270946132E-3</v>
      </c>
      <c r="G86" s="12">
        <f t="shared" si="9"/>
        <v>0.96662954750492214</v>
      </c>
      <c r="H86" s="16">
        <v>15.167216</v>
      </c>
      <c r="I86" s="11">
        <f t="shared" si="10"/>
        <v>-2.5834198275596319E-2</v>
      </c>
      <c r="J86" s="12">
        <f t="shared" si="11"/>
        <v>1.1788339557480716</v>
      </c>
    </row>
    <row r="87" spans="1:10" x14ac:dyDescent="0.45">
      <c r="A87" s="4">
        <v>40304</v>
      </c>
      <c r="B87" s="10">
        <v>32.895488</v>
      </c>
      <c r="C87" s="11">
        <f t="shared" si="6"/>
        <v>-3.8048386895848711E-2</v>
      </c>
      <c r="D87" s="12">
        <f t="shared" si="7"/>
        <v>1.1506469971619533</v>
      </c>
      <c r="E87" s="16">
        <v>111.139762</v>
      </c>
      <c r="F87" s="11">
        <f t="shared" si="8"/>
        <v>-2.2790003294419822E-2</v>
      </c>
      <c r="G87" s="12">
        <f t="shared" si="9"/>
        <v>0.94460005693280147</v>
      </c>
      <c r="H87" s="16">
        <v>14.50522</v>
      </c>
      <c r="I87" s="11">
        <f t="shared" si="10"/>
        <v>-4.364650704519539E-2</v>
      </c>
      <c r="J87" s="12">
        <f t="shared" si="11"/>
        <v>1.1273819711933979</v>
      </c>
    </row>
    <row r="88" spans="1:10" x14ac:dyDescent="0.45">
      <c r="A88" s="4">
        <v>40305</v>
      </c>
      <c r="B88" s="10">
        <v>31.507536999999999</v>
      </c>
      <c r="C88" s="11">
        <f t="shared" si="6"/>
        <v>-4.2192746920185563E-2</v>
      </c>
      <c r="D88" s="12">
        <f t="shared" si="7"/>
        <v>1.1020980396162274</v>
      </c>
      <c r="E88" s="16">
        <v>109.507464</v>
      </c>
      <c r="F88" s="11">
        <f t="shared" si="8"/>
        <v>-1.4686894866663523E-2</v>
      </c>
      <c r="G88" s="12">
        <f t="shared" si="9"/>
        <v>0.93072681520558498</v>
      </c>
      <c r="H88" s="16">
        <v>14.144894000000001</v>
      </c>
      <c r="I88" s="11">
        <f t="shared" si="10"/>
        <v>-2.4841126160099525E-2</v>
      </c>
      <c r="J88" s="12">
        <f t="shared" si="11"/>
        <v>1.099376533416361</v>
      </c>
    </row>
    <row r="89" spans="1:10" x14ac:dyDescent="0.45">
      <c r="A89" s="4">
        <v>40308</v>
      </c>
      <c r="B89" s="10">
        <v>33.929447000000003</v>
      </c>
      <c r="C89" s="11">
        <f t="shared" si="6"/>
        <v>7.6867639638096882E-2</v>
      </c>
      <c r="D89" s="12">
        <f t="shared" si="7"/>
        <v>1.1868137145713007</v>
      </c>
      <c r="E89" s="16">
        <v>113.247398</v>
      </c>
      <c r="F89" s="11">
        <f t="shared" si="8"/>
        <v>3.4152320429957223E-2</v>
      </c>
      <c r="G89" s="12">
        <f t="shared" si="9"/>
        <v>0.96251329563123966</v>
      </c>
      <c r="H89" s="16">
        <v>15.116937999999999</v>
      </c>
      <c r="I89" s="11">
        <f t="shared" si="10"/>
        <v>6.8720486700006272E-2</v>
      </c>
      <c r="J89" s="12">
        <f t="shared" si="11"/>
        <v>1.174926223859299</v>
      </c>
    </row>
    <row r="90" spans="1:10" x14ac:dyDescent="0.45">
      <c r="A90" s="4">
        <v>40309</v>
      </c>
      <c r="B90" s="10">
        <v>34.267411000000003</v>
      </c>
      <c r="C90" s="11">
        <f t="shared" si="6"/>
        <v>9.9607871593073542E-3</v>
      </c>
      <c r="D90" s="12">
        <f t="shared" si="7"/>
        <v>1.1986353133798922</v>
      </c>
      <c r="E90" s="16">
        <v>113.80345800000001</v>
      </c>
      <c r="F90" s="11">
        <f t="shared" si="8"/>
        <v>4.9101348889270041E-3</v>
      </c>
      <c r="G90" s="12">
        <f t="shared" si="9"/>
        <v>0.96723936574517477</v>
      </c>
      <c r="H90" s="16">
        <v>15.083418</v>
      </c>
      <c r="I90" s="11">
        <f t="shared" si="10"/>
        <v>-2.2173802657654168E-3</v>
      </c>
      <c r="J90" s="12">
        <f t="shared" si="11"/>
        <v>1.172320965636783</v>
      </c>
    </row>
    <row r="91" spans="1:10" x14ac:dyDescent="0.45">
      <c r="A91" s="4">
        <v>40310</v>
      </c>
      <c r="B91" s="10">
        <v>35.011488</v>
      </c>
      <c r="C91" s="11">
        <f t="shared" si="6"/>
        <v>2.171383767510178E-2</v>
      </c>
      <c r="D91" s="12">
        <f t="shared" si="7"/>
        <v>1.2246622860062679</v>
      </c>
      <c r="E91" s="16">
        <v>118.996312</v>
      </c>
      <c r="F91" s="11">
        <f t="shared" si="8"/>
        <v>4.5630019432274162E-2</v>
      </c>
      <c r="G91" s="12">
        <f t="shared" si="9"/>
        <v>1.0113745167997876</v>
      </c>
      <c r="H91" s="16">
        <v>15.452125000000001</v>
      </c>
      <c r="I91" s="11">
        <f t="shared" si="10"/>
        <v>2.4444525769954831E-2</v>
      </c>
      <c r="J91" s="12">
        <f t="shared" si="11"/>
        <v>1.2009777956919496</v>
      </c>
    </row>
    <row r="92" spans="1:10" x14ac:dyDescent="0.45">
      <c r="A92" s="4">
        <v>40311</v>
      </c>
      <c r="B92" s="10">
        <v>34.513210000000001</v>
      </c>
      <c r="C92" s="11">
        <f t="shared" si="6"/>
        <v>-1.423184298822144E-2</v>
      </c>
      <c r="D92" s="12">
        <f t="shared" si="7"/>
        <v>1.2072330846382304</v>
      </c>
      <c r="E92" s="16">
        <v>117.920074</v>
      </c>
      <c r="F92" s="11">
        <f t="shared" si="8"/>
        <v>-9.0442971039304439E-3</v>
      </c>
      <c r="G92" s="12">
        <f t="shared" si="9"/>
        <v>1.0022273451865062</v>
      </c>
      <c r="H92" s="16">
        <v>15.125316</v>
      </c>
      <c r="I92" s="11">
        <f t="shared" si="10"/>
        <v>-2.1149777134212983E-2</v>
      </c>
      <c r="J92" s="12">
        <f t="shared" si="11"/>
        <v>1.1755773829699265</v>
      </c>
    </row>
    <row r="93" spans="1:10" x14ac:dyDescent="0.45">
      <c r="A93" s="4">
        <v>40312</v>
      </c>
      <c r="B93" s="10">
        <v>33.906731999999998</v>
      </c>
      <c r="C93" s="11">
        <f t="shared" si="6"/>
        <v>-1.757234403870294E-2</v>
      </c>
      <c r="D93" s="12">
        <f t="shared" si="7"/>
        <v>1.1860191695400628</v>
      </c>
      <c r="E93" s="16">
        <v>117.659989</v>
      </c>
      <c r="F93" s="11">
        <f t="shared" si="8"/>
        <v>-2.205604111137207E-3</v>
      </c>
      <c r="G93" s="12">
        <f t="shared" si="9"/>
        <v>1.0000168284336688</v>
      </c>
      <c r="H93" s="16">
        <v>14.781750000000001</v>
      </c>
      <c r="I93" s="11">
        <f t="shared" si="10"/>
        <v>-2.2714632871141283E-2</v>
      </c>
      <c r="J93" s="12">
        <f t="shared" si="11"/>
        <v>1.1488745743041475</v>
      </c>
    </row>
    <row r="94" spans="1:10" x14ac:dyDescent="0.45">
      <c r="A94" s="4">
        <v>40315</v>
      </c>
      <c r="B94" s="10">
        <v>33.960163999999999</v>
      </c>
      <c r="C94" s="11">
        <f t="shared" si="6"/>
        <v>1.5758522525851448E-3</v>
      </c>
      <c r="D94" s="12">
        <f t="shared" si="7"/>
        <v>1.1878881605199916</v>
      </c>
      <c r="E94" s="16">
        <v>116.98733799999999</v>
      </c>
      <c r="F94" s="11">
        <f t="shared" si="8"/>
        <v>-5.7169051749614043E-3</v>
      </c>
      <c r="G94" s="12">
        <f t="shared" si="9"/>
        <v>0.99429982705214792</v>
      </c>
      <c r="H94" s="16">
        <v>14.714712</v>
      </c>
      <c r="I94" s="11">
        <f t="shared" si="10"/>
        <v>-4.5351869704196154E-3</v>
      </c>
      <c r="J94" s="12">
        <f t="shared" si="11"/>
        <v>1.1436642133041168</v>
      </c>
    </row>
    <row r="95" spans="1:10" x14ac:dyDescent="0.45">
      <c r="A95" s="4">
        <v>40316</v>
      </c>
      <c r="B95" s="10">
        <v>33.711699000000003</v>
      </c>
      <c r="C95" s="11">
        <f t="shared" si="6"/>
        <v>-7.3163663167232036E-3</v>
      </c>
      <c r="D95" s="12">
        <f t="shared" si="7"/>
        <v>1.1791971355943289</v>
      </c>
      <c r="E95" s="16">
        <v>116.54786900000001</v>
      </c>
      <c r="F95" s="11">
        <f t="shared" si="8"/>
        <v>-3.7565518415333832E-3</v>
      </c>
      <c r="G95" s="12">
        <f t="shared" si="9"/>
        <v>0.9905646882057989</v>
      </c>
      <c r="H95" s="16">
        <v>14.438183</v>
      </c>
      <c r="I95" s="11">
        <f t="shared" si="10"/>
        <v>-1.8792688569100095E-2</v>
      </c>
      <c r="J95" s="12">
        <f t="shared" si="11"/>
        <v>1.1221716879158676</v>
      </c>
    </row>
    <row r="96" spans="1:10" x14ac:dyDescent="0.45">
      <c r="A96" s="4">
        <v>40317</v>
      </c>
      <c r="B96" s="10">
        <v>33.174678999999998</v>
      </c>
      <c r="C96" s="11">
        <f t="shared" si="6"/>
        <v>-1.5929781527771868E-2</v>
      </c>
      <c r="D96" s="12">
        <f t="shared" si="7"/>
        <v>1.1604127828461368</v>
      </c>
      <c r="E96" s="16">
        <v>115.57028699999999</v>
      </c>
      <c r="F96" s="11">
        <f t="shared" si="8"/>
        <v>-8.387815310462796E-3</v>
      </c>
      <c r="G96" s="12">
        <f t="shared" si="9"/>
        <v>0.98225601454806244</v>
      </c>
      <c r="H96" s="16">
        <v>14.463323000000001</v>
      </c>
      <c r="I96" s="11">
        <f t="shared" si="10"/>
        <v>1.7412163289522223E-3</v>
      </c>
      <c r="J96" s="12">
        <f t="shared" si="11"/>
        <v>1.1241256315827548</v>
      </c>
    </row>
    <row r="97" spans="1:10" x14ac:dyDescent="0.45">
      <c r="A97" s="4">
        <v>40318</v>
      </c>
      <c r="B97" s="10">
        <v>31.761341999999999</v>
      </c>
      <c r="C97" s="11">
        <f t="shared" si="6"/>
        <v>-4.2602883964604411E-2</v>
      </c>
      <c r="D97" s="12">
        <f t="shared" si="7"/>
        <v>1.110975851707499</v>
      </c>
      <c r="E97" s="16">
        <v>111.03214199999999</v>
      </c>
      <c r="F97" s="11">
        <f t="shared" si="8"/>
        <v>-3.9267402701872671E-2</v>
      </c>
      <c r="G97" s="12">
        <f t="shared" si="9"/>
        <v>0.94368537206846714</v>
      </c>
      <c r="H97" s="16">
        <v>13.625355000000001</v>
      </c>
      <c r="I97" s="11">
        <f t="shared" si="10"/>
        <v>-5.7937446325439873E-2</v>
      </c>
      <c r="J97" s="12">
        <f t="shared" si="11"/>
        <v>1.0589966631398777</v>
      </c>
    </row>
    <row r="98" spans="1:10" x14ac:dyDescent="0.45">
      <c r="A98" s="4">
        <v>40319</v>
      </c>
      <c r="B98" s="10">
        <v>32.370496000000003</v>
      </c>
      <c r="C98" s="11">
        <f t="shared" si="6"/>
        <v>1.917910143721269E-2</v>
      </c>
      <c r="D98" s="12">
        <f t="shared" si="7"/>
        <v>1.1322833702616908</v>
      </c>
      <c r="E98" s="16">
        <v>112.485062</v>
      </c>
      <c r="F98" s="11">
        <f t="shared" si="8"/>
        <v>1.3085580209737879E-2</v>
      </c>
      <c r="G98" s="12">
        <f t="shared" si="9"/>
        <v>0.95603404269742531</v>
      </c>
      <c r="H98" s="16">
        <v>13.75943</v>
      </c>
      <c r="I98" s="11">
        <f t="shared" si="10"/>
        <v>9.8401105879442601E-3</v>
      </c>
      <c r="J98" s="12">
        <f t="shared" si="11"/>
        <v>1.069417307417438</v>
      </c>
    </row>
    <row r="99" spans="1:10" x14ac:dyDescent="0.45">
      <c r="A99" s="4">
        <v>40322</v>
      </c>
      <c r="B99" s="10">
        <v>32.963619999999999</v>
      </c>
      <c r="C99" s="11">
        <f t="shared" si="6"/>
        <v>1.8322981519961756E-2</v>
      </c>
      <c r="D99" s="12">
        <f t="shared" si="7"/>
        <v>1.1530301775303557</v>
      </c>
      <c r="E99" s="16">
        <v>111.6151</v>
      </c>
      <c r="F99" s="11">
        <f t="shared" si="8"/>
        <v>-7.7340224962493334E-3</v>
      </c>
      <c r="G99" s="12">
        <f t="shared" si="9"/>
        <v>0.94864005390402328</v>
      </c>
      <c r="H99" s="16">
        <v>13.415863</v>
      </c>
      <c r="I99" s="11">
        <f t="shared" si="10"/>
        <v>-2.4969566326512083E-2</v>
      </c>
      <c r="J99" s="12">
        <f t="shared" si="11"/>
        <v>1.0427144210291583</v>
      </c>
    </row>
    <row r="100" spans="1:10" x14ac:dyDescent="0.45">
      <c r="A100" s="4">
        <v>40323</v>
      </c>
      <c r="B100" s="10">
        <v>32.757896000000002</v>
      </c>
      <c r="C100" s="11">
        <f t="shared" si="6"/>
        <v>-6.2409407704613895E-3</v>
      </c>
      <c r="D100" s="12">
        <f t="shared" si="7"/>
        <v>1.1458341844858342</v>
      </c>
      <c r="E100" s="16">
        <v>111.67788</v>
      </c>
      <c r="F100" s="11">
        <f t="shared" si="8"/>
        <v>5.6246869823172319E-4</v>
      </c>
      <c r="G100" s="12">
        <f t="shared" si="9"/>
        <v>0.94917363424023315</v>
      </c>
      <c r="H100" s="16">
        <v>13.365584999999999</v>
      </c>
      <c r="I100" s="11">
        <f t="shared" si="10"/>
        <v>-3.7476530581745274E-3</v>
      </c>
      <c r="J100" s="12">
        <f t="shared" si="11"/>
        <v>1.0388066891403858</v>
      </c>
    </row>
    <row r="101" spans="1:10" x14ac:dyDescent="0.45">
      <c r="A101" s="4">
        <v>40324</v>
      </c>
      <c r="B101" s="10">
        <v>32.609617999999998</v>
      </c>
      <c r="C101" s="11">
        <f t="shared" si="6"/>
        <v>-4.5264811879250364E-3</v>
      </c>
      <c r="D101" s="12">
        <f t="shared" si="7"/>
        <v>1.1406475876052775</v>
      </c>
      <c r="E101" s="16">
        <v>110.520928</v>
      </c>
      <c r="F101" s="11">
        <f t="shared" si="8"/>
        <v>-1.0359723877279941E-2</v>
      </c>
      <c r="G101" s="12">
        <f t="shared" si="9"/>
        <v>0.93934045747791006</v>
      </c>
      <c r="H101" s="16">
        <v>13.415863</v>
      </c>
      <c r="I101" s="11">
        <f t="shared" si="10"/>
        <v>3.7617507950456707E-3</v>
      </c>
      <c r="J101" s="12">
        <f t="shared" si="11"/>
        <v>1.0427144210291583</v>
      </c>
    </row>
    <row r="102" spans="1:10" x14ac:dyDescent="0.45">
      <c r="A102" s="4">
        <v>40325</v>
      </c>
      <c r="B102" s="10">
        <v>33.84395</v>
      </c>
      <c r="C102" s="11">
        <f t="shared" si="6"/>
        <v>3.7851777349860463E-2</v>
      </c>
      <c r="D102" s="12">
        <f t="shared" si="7"/>
        <v>1.183823126125968</v>
      </c>
      <c r="E102" s="16">
        <v>113.355024</v>
      </c>
      <c r="F102" s="11">
        <f t="shared" si="8"/>
        <v>2.5643070966613692E-2</v>
      </c>
      <c r="G102" s="12">
        <f t="shared" si="9"/>
        <v>0.96342803149082756</v>
      </c>
      <c r="H102" s="16">
        <v>13.960542</v>
      </c>
      <c r="I102" s="11">
        <f t="shared" si="10"/>
        <v>4.0599624489307942E-2</v>
      </c>
      <c r="J102" s="12">
        <f t="shared" si="11"/>
        <v>1.0850482349725283</v>
      </c>
    </row>
    <row r="103" spans="1:10" x14ac:dyDescent="0.45">
      <c r="A103" s="4">
        <v>40326</v>
      </c>
      <c r="B103" s="10">
        <v>34.315503</v>
      </c>
      <c r="C103" s="11">
        <f t="shared" si="6"/>
        <v>1.3933154965658563E-2</v>
      </c>
      <c r="D103" s="12">
        <f t="shared" si="7"/>
        <v>1.2003175171942113</v>
      </c>
      <c r="E103" s="16">
        <v>112.341567</v>
      </c>
      <c r="F103" s="11">
        <f t="shared" si="8"/>
        <v>-8.940556529722074E-3</v>
      </c>
      <c r="G103" s="12">
        <f t="shared" si="9"/>
        <v>0.95481444871296495</v>
      </c>
      <c r="H103" s="16">
        <v>13.700772000000001</v>
      </c>
      <c r="I103" s="11">
        <f t="shared" si="10"/>
        <v>-1.860744375110935E-2</v>
      </c>
      <c r="J103" s="12">
        <f t="shared" si="11"/>
        <v>1.0648582609730366</v>
      </c>
    </row>
    <row r="104" spans="1:10" x14ac:dyDescent="0.45">
      <c r="A104" s="4">
        <v>40330</v>
      </c>
      <c r="B104" s="10">
        <v>34.843169000000003</v>
      </c>
      <c r="C104" s="11">
        <f t="shared" si="6"/>
        <v>1.5376898307450237E-2</v>
      </c>
      <c r="D104" s="12">
        <f t="shared" si="7"/>
        <v>1.2187746775927579</v>
      </c>
      <c r="E104" s="16">
        <v>111.51644400000001</v>
      </c>
      <c r="F104" s="11">
        <f t="shared" si="8"/>
        <v>-7.3447702576553055E-3</v>
      </c>
      <c r="G104" s="12">
        <f t="shared" si="9"/>
        <v>0.94780155594847837</v>
      </c>
      <c r="H104" s="16">
        <v>13.390722999999999</v>
      </c>
      <c r="I104" s="11">
        <f t="shared" si="10"/>
        <v>-2.2630038657675721E-2</v>
      </c>
      <c r="J104" s="12">
        <f t="shared" si="11"/>
        <v>1.0407604773622714</v>
      </c>
    </row>
    <row r="105" spans="1:10" x14ac:dyDescent="0.45">
      <c r="A105" s="4">
        <v>40331</v>
      </c>
      <c r="B105" s="10">
        <v>35.259956000000003</v>
      </c>
      <c r="C105" s="11">
        <f t="shared" si="6"/>
        <v>1.1961799456300869E-2</v>
      </c>
      <c r="D105" s="12">
        <f t="shared" si="7"/>
        <v>1.2333534158685402</v>
      </c>
      <c r="E105" s="16">
        <v>114.26983199999999</v>
      </c>
      <c r="F105" s="11">
        <f t="shared" si="8"/>
        <v>2.4690421441343546E-2</v>
      </c>
      <c r="G105" s="12">
        <f t="shared" si="9"/>
        <v>0.9712031758076074</v>
      </c>
      <c r="H105" s="16">
        <v>13.700772000000001</v>
      </c>
      <c r="I105" s="11">
        <f t="shared" si="10"/>
        <v>2.3154014910173343E-2</v>
      </c>
      <c r="J105" s="12">
        <f t="shared" si="11"/>
        <v>1.0648582609730366</v>
      </c>
    </row>
    <row r="106" spans="1:10" x14ac:dyDescent="0.45">
      <c r="A106" s="4">
        <v>40332</v>
      </c>
      <c r="B106" s="10">
        <v>35.149079</v>
      </c>
      <c r="C106" s="11">
        <f t="shared" si="6"/>
        <v>-3.1445586602547688E-3</v>
      </c>
      <c r="D106" s="12">
        <f t="shared" si="7"/>
        <v>1.2294750637035159</v>
      </c>
      <c r="E106" s="16">
        <v>114.763105</v>
      </c>
      <c r="F106" s="11">
        <f t="shared" si="8"/>
        <v>4.3167386471698157E-3</v>
      </c>
      <c r="G106" s="12">
        <f t="shared" si="9"/>
        <v>0.97539560609087017</v>
      </c>
      <c r="H106" s="16">
        <v>13.784568999999999</v>
      </c>
      <c r="I106" s="11">
        <f t="shared" si="10"/>
        <v>6.1162246915720357E-3</v>
      </c>
      <c r="J106" s="12">
        <f t="shared" si="11"/>
        <v>1.0713711733618243</v>
      </c>
    </row>
    <row r="107" spans="1:10" x14ac:dyDescent="0.45">
      <c r="A107" s="4">
        <v>40333</v>
      </c>
      <c r="B107" s="10">
        <v>34.192601000000003</v>
      </c>
      <c r="C107" s="11">
        <f t="shared" si="6"/>
        <v>-2.7212035911381834E-2</v>
      </c>
      <c r="D107" s="12">
        <f t="shared" si="7"/>
        <v>1.1960185441178672</v>
      </c>
      <c r="E107" s="16">
        <v>112.35950099999999</v>
      </c>
      <c r="F107" s="11">
        <f t="shared" si="8"/>
        <v>-2.0944048176458816E-2</v>
      </c>
      <c r="G107" s="12">
        <f t="shared" si="9"/>
        <v>0.95496687352579679</v>
      </c>
      <c r="H107" s="16">
        <v>13.164472999999999</v>
      </c>
      <c r="I107" s="11">
        <f t="shared" si="10"/>
        <v>-4.4984794228967208E-2</v>
      </c>
      <c r="J107" s="12">
        <f t="shared" si="11"/>
        <v>1.0231757615852954</v>
      </c>
    </row>
    <row r="108" spans="1:10" x14ac:dyDescent="0.45">
      <c r="A108" s="4">
        <v>40336</v>
      </c>
      <c r="B108" s="10">
        <v>33.522007000000002</v>
      </c>
      <c r="C108" s="11">
        <f t="shared" si="6"/>
        <v>-1.9612254709725101E-2</v>
      </c>
      <c r="D108" s="12">
        <f t="shared" si="7"/>
        <v>1.1725619237930731</v>
      </c>
      <c r="E108" s="16">
        <v>111.328103</v>
      </c>
      <c r="F108" s="11">
        <f t="shared" si="8"/>
        <v>-9.1794462490537038E-3</v>
      </c>
      <c r="G108" s="12">
        <f t="shared" si="9"/>
        <v>0.94620080644063986</v>
      </c>
      <c r="H108" s="16">
        <v>12.913081999999999</v>
      </c>
      <c r="I108" s="11">
        <f t="shared" si="10"/>
        <v>-1.9096168908546506E-2</v>
      </c>
      <c r="J108" s="12">
        <f t="shared" si="11"/>
        <v>1.0036370244189319</v>
      </c>
    </row>
    <row r="109" spans="1:10" x14ac:dyDescent="0.45">
      <c r="A109" s="4">
        <v>40337</v>
      </c>
      <c r="B109" s="10">
        <v>33.306930000000001</v>
      </c>
      <c r="C109" s="11">
        <f t="shared" si="6"/>
        <v>-6.4159941258887286E-3</v>
      </c>
      <c r="D109" s="12">
        <f t="shared" si="7"/>
        <v>1.1650387733777758</v>
      </c>
      <c r="E109" s="16">
        <v>110.960391</v>
      </c>
      <c r="F109" s="11">
        <f t="shared" si="8"/>
        <v>-3.3029575649914504E-3</v>
      </c>
      <c r="G109" s="12">
        <f t="shared" si="9"/>
        <v>0.94307554532900573</v>
      </c>
      <c r="H109" s="16">
        <v>12.97174</v>
      </c>
      <c r="I109" s="11">
        <f t="shared" si="10"/>
        <v>4.542525169436794E-3</v>
      </c>
      <c r="J109" s="12">
        <f t="shared" si="11"/>
        <v>1.0081960708633335</v>
      </c>
    </row>
    <row r="110" spans="1:10" x14ac:dyDescent="0.45">
      <c r="A110" s="4">
        <v>40338</v>
      </c>
      <c r="B110" s="10">
        <v>32.488053999999998</v>
      </c>
      <c r="C110" s="11">
        <f t="shared" si="6"/>
        <v>-2.4585754376041352E-2</v>
      </c>
      <c r="D110" s="12">
        <f t="shared" si="7"/>
        <v>1.1363954162569454</v>
      </c>
      <c r="E110" s="16">
        <v>111.121827</v>
      </c>
      <c r="F110" s="11">
        <f t="shared" si="8"/>
        <v>1.4548975408710915E-3</v>
      </c>
      <c r="G110" s="12">
        <f t="shared" si="9"/>
        <v>0.94444762362076051</v>
      </c>
      <c r="H110" s="16">
        <v>12.837664999999999</v>
      </c>
      <c r="I110" s="11">
        <f t="shared" si="10"/>
        <v>-1.0335930260705275E-2</v>
      </c>
      <c r="J110" s="12">
        <f t="shared" si="11"/>
        <v>0.99777542658577312</v>
      </c>
    </row>
    <row r="111" spans="1:10" x14ac:dyDescent="0.45">
      <c r="A111" s="4">
        <v>40339</v>
      </c>
      <c r="B111" s="10">
        <v>33.464562000000001</v>
      </c>
      <c r="C111" s="11">
        <f t="shared" si="6"/>
        <v>3.0057448193111309E-2</v>
      </c>
      <c r="D111" s="12">
        <f t="shared" si="7"/>
        <v>1.1705525626079776</v>
      </c>
      <c r="E111" s="16">
        <v>114.511984</v>
      </c>
      <c r="F111" s="11">
        <f t="shared" si="8"/>
        <v>3.0508470671563041E-2</v>
      </c>
      <c r="G111" s="12">
        <f t="shared" si="9"/>
        <v>0.9732612762468219</v>
      </c>
      <c r="H111" s="16">
        <v>13.139334</v>
      </c>
      <c r="I111" s="11">
        <f t="shared" si="10"/>
        <v>2.3498743735718329E-2</v>
      </c>
      <c r="J111" s="12">
        <f t="shared" si="11"/>
        <v>1.0212218956409094</v>
      </c>
    </row>
    <row r="112" spans="1:10" x14ac:dyDescent="0.45">
      <c r="A112" s="4">
        <v>40340</v>
      </c>
      <c r="B112" s="10">
        <v>33.865316999999997</v>
      </c>
      <c r="C112" s="11">
        <f t="shared" si="6"/>
        <v>1.1975504116862387E-2</v>
      </c>
      <c r="D112" s="12">
        <f t="shared" si="7"/>
        <v>1.1845705196404932</v>
      </c>
      <c r="E112" s="16">
        <v>115.202568</v>
      </c>
      <c r="F112" s="11">
        <f t="shared" si="8"/>
        <v>6.0306701174612535E-3</v>
      </c>
      <c r="G112" s="12">
        <f t="shared" si="9"/>
        <v>0.97913069394196584</v>
      </c>
      <c r="H112" s="16">
        <v>13.038778000000001</v>
      </c>
      <c r="I112" s="11">
        <f t="shared" si="10"/>
        <v>-7.6530515169185289E-3</v>
      </c>
      <c r="J112" s="12">
        <f t="shared" si="11"/>
        <v>1.0134064318633642</v>
      </c>
    </row>
    <row r="113" spans="1:10" x14ac:dyDescent="0.45">
      <c r="A113" s="4">
        <v>40343</v>
      </c>
      <c r="B113" s="10">
        <v>33.968178999999999</v>
      </c>
      <c r="C113" s="11">
        <f t="shared" si="6"/>
        <v>3.0373848264878722E-3</v>
      </c>
      <c r="D113" s="12">
        <f t="shared" si="7"/>
        <v>1.1881685161627542</v>
      </c>
      <c r="E113" s="16">
        <v>115.24741400000001</v>
      </c>
      <c r="F113" s="11">
        <f t="shared" si="8"/>
        <v>3.8927951675527602E-4</v>
      </c>
      <c r="G113" s="12">
        <f t="shared" si="9"/>
        <v>0.97951184946534386</v>
      </c>
      <c r="H113" s="16">
        <v>12.896323000000001</v>
      </c>
      <c r="I113" s="11">
        <f t="shared" si="10"/>
        <v>-1.0925487035671594E-2</v>
      </c>
      <c r="J113" s="12">
        <f t="shared" si="11"/>
        <v>1.0023344730301749</v>
      </c>
    </row>
    <row r="114" spans="1:10" x14ac:dyDescent="0.45">
      <c r="A114" s="4">
        <v>40344</v>
      </c>
      <c r="B114" s="10">
        <v>34.690882000000002</v>
      </c>
      <c r="C114" s="11">
        <f t="shared" si="6"/>
        <v>2.1275882937380974E-2</v>
      </c>
      <c r="D114" s="12">
        <f t="shared" si="7"/>
        <v>1.2134478504225146</v>
      </c>
      <c r="E114" s="16">
        <v>116.40436699999999</v>
      </c>
      <c r="F114" s="11">
        <f t="shared" si="8"/>
        <v>1.0038862997828196E-2</v>
      </c>
      <c r="G114" s="12">
        <f t="shared" si="9"/>
        <v>0.98934503472687585</v>
      </c>
      <c r="H114" s="16">
        <v>13.23151</v>
      </c>
      <c r="I114" s="11">
        <f t="shared" si="10"/>
        <v>2.5990896785075827E-2</v>
      </c>
      <c r="J114" s="12">
        <f t="shared" si="11"/>
        <v>1.0283860448628257</v>
      </c>
    </row>
    <row r="115" spans="1:10" x14ac:dyDescent="0.45">
      <c r="A115" s="4">
        <v>40345</v>
      </c>
      <c r="B115" s="10">
        <v>35.700788000000003</v>
      </c>
      <c r="C115" s="11">
        <f t="shared" si="6"/>
        <v>2.9111568855470459E-2</v>
      </c>
      <c r="D115" s="12">
        <f t="shared" si="7"/>
        <v>1.2487732210726121</v>
      </c>
      <c r="E115" s="16">
        <v>116.90662399999999</v>
      </c>
      <c r="F115" s="11">
        <f t="shared" si="8"/>
        <v>4.3147608027454864E-3</v>
      </c>
      <c r="G115" s="12">
        <f t="shared" si="9"/>
        <v>0.99361382190310621</v>
      </c>
      <c r="H115" s="16">
        <v>13.281788000000001</v>
      </c>
      <c r="I115" s="11">
        <f t="shared" si="10"/>
        <v>3.7998686468891673E-3</v>
      </c>
      <c r="J115" s="12">
        <f t="shared" si="11"/>
        <v>1.0322937767515983</v>
      </c>
    </row>
    <row r="116" spans="1:10" x14ac:dyDescent="0.45">
      <c r="A116" s="4">
        <v>40346</v>
      </c>
      <c r="B116" s="10">
        <v>36.317954</v>
      </c>
      <c r="C116" s="11">
        <f t="shared" si="6"/>
        <v>1.7287181448207737E-2</v>
      </c>
      <c r="D116" s="12">
        <f t="shared" si="7"/>
        <v>1.2703609903329574</v>
      </c>
      <c r="E116" s="16">
        <v>117.47164100000001</v>
      </c>
      <c r="F116" s="11">
        <f t="shared" si="8"/>
        <v>4.8330623250228463E-3</v>
      </c>
      <c r="G116" s="12">
        <f t="shared" si="9"/>
        <v>0.99841601943136804</v>
      </c>
      <c r="H116" s="16">
        <v>13.416714000000001</v>
      </c>
      <c r="I116" s="11">
        <f t="shared" si="10"/>
        <v>1.0158722605721466E-2</v>
      </c>
      <c r="J116" s="12">
        <f t="shared" si="11"/>
        <v>1.0427805628772302</v>
      </c>
    </row>
    <row r="117" spans="1:10" x14ac:dyDescent="0.45">
      <c r="A117" s="4">
        <v>40347</v>
      </c>
      <c r="B117" s="10">
        <v>36.611846</v>
      </c>
      <c r="C117" s="11">
        <f t="shared" si="6"/>
        <v>8.0921959425357386E-3</v>
      </c>
      <c r="D117" s="12">
        <f t="shared" si="7"/>
        <v>1.2806410003844855</v>
      </c>
      <c r="E117" s="16">
        <v>116.727239</v>
      </c>
      <c r="F117" s="11">
        <f t="shared" si="8"/>
        <v>-6.3368655929477305E-3</v>
      </c>
      <c r="G117" s="12">
        <f t="shared" si="9"/>
        <v>0.99208919131038553</v>
      </c>
      <c r="H117" s="16">
        <v>13.450445</v>
      </c>
      <c r="I117" s="11">
        <f t="shared" si="10"/>
        <v>2.514102931611981E-3</v>
      </c>
      <c r="J117" s="12">
        <f t="shared" si="11"/>
        <v>1.0454022205473879</v>
      </c>
    </row>
    <row r="118" spans="1:10" x14ac:dyDescent="0.45">
      <c r="A118" s="4">
        <v>40350</v>
      </c>
      <c r="B118" s="10">
        <v>36.090857</v>
      </c>
      <c r="C118" s="11">
        <f t="shared" si="6"/>
        <v>-1.4230066410745859E-2</v>
      </c>
      <c r="D118" s="12">
        <f t="shared" si="7"/>
        <v>1.2624173939006902</v>
      </c>
      <c r="E118" s="16">
        <v>117.175673</v>
      </c>
      <c r="F118" s="11">
        <f t="shared" si="8"/>
        <v>3.8417254090967233E-3</v>
      </c>
      <c r="G118" s="12">
        <f t="shared" si="9"/>
        <v>0.99590052556473296</v>
      </c>
      <c r="H118" s="16">
        <v>13.576938999999999</v>
      </c>
      <c r="I118" s="11">
        <f t="shared" si="10"/>
        <v>9.4044472134564485E-3</v>
      </c>
      <c r="J118" s="12">
        <f t="shared" si="11"/>
        <v>1.0552336505473559</v>
      </c>
    </row>
    <row r="119" spans="1:10" x14ac:dyDescent="0.45">
      <c r="A119" s="4">
        <v>40351</v>
      </c>
      <c r="B119" s="10">
        <v>36.582456000000001</v>
      </c>
      <c r="C119" s="11">
        <f t="shared" si="6"/>
        <v>1.3621150642114173E-2</v>
      </c>
      <c r="D119" s="12">
        <f t="shared" si="7"/>
        <v>1.2796129713962368</v>
      </c>
      <c r="E119" s="16">
        <v>115.964911</v>
      </c>
      <c r="F119" s="11">
        <f t="shared" si="8"/>
        <v>-1.0332878566014317E-2</v>
      </c>
      <c r="G119" s="12">
        <f t="shared" si="9"/>
        <v>0.98561000637024276</v>
      </c>
      <c r="H119" s="16">
        <v>13.315519</v>
      </c>
      <c r="I119" s="11">
        <f t="shared" si="10"/>
        <v>-1.9254708296177755E-2</v>
      </c>
      <c r="J119" s="12">
        <f t="shared" si="11"/>
        <v>1.0349154344217557</v>
      </c>
    </row>
    <row r="120" spans="1:10" x14ac:dyDescent="0.45">
      <c r="A120" s="4">
        <v>40352</v>
      </c>
      <c r="B120" s="10">
        <v>36.197727999999998</v>
      </c>
      <c r="C120" s="11">
        <f t="shared" si="6"/>
        <v>-1.0516735125711697E-2</v>
      </c>
      <c r="D120" s="12">
        <f t="shared" si="7"/>
        <v>1.2661556207126377</v>
      </c>
      <c r="E120" s="16">
        <v>116.691371</v>
      </c>
      <c r="F120" s="11">
        <f t="shared" si="8"/>
        <v>6.2644811584428584E-3</v>
      </c>
      <c r="G120" s="12">
        <f t="shared" si="9"/>
        <v>0.99178434168472196</v>
      </c>
      <c r="H120" s="16">
        <v>12.978205000000001</v>
      </c>
      <c r="I120" s="11">
        <f t="shared" si="10"/>
        <v>-2.5332395980960203E-2</v>
      </c>
      <c r="J120" s="12">
        <f t="shared" si="11"/>
        <v>1.0086985468301763</v>
      </c>
    </row>
    <row r="121" spans="1:10" x14ac:dyDescent="0.45">
      <c r="A121" s="4">
        <v>40353</v>
      </c>
      <c r="B121" s="10">
        <v>35.934562999999997</v>
      </c>
      <c r="C121" s="11">
        <f t="shared" si="6"/>
        <v>-7.2702076771227406E-3</v>
      </c>
      <c r="D121" s="12">
        <f t="shared" si="7"/>
        <v>1.2569504063985006</v>
      </c>
      <c r="E121" s="16">
        <v>114.969388</v>
      </c>
      <c r="F121" s="11">
        <f t="shared" si="8"/>
        <v>-1.4756729527155942E-2</v>
      </c>
      <c r="G121" s="12">
        <f t="shared" si="9"/>
        <v>0.9771488484052121</v>
      </c>
      <c r="H121" s="16">
        <v>12.716785</v>
      </c>
      <c r="I121" s="11">
        <f t="shared" si="10"/>
        <v>-2.0143001285617006E-2</v>
      </c>
      <c r="J121" s="12">
        <f t="shared" si="11"/>
        <v>0.98838033070457609</v>
      </c>
    </row>
    <row r="122" spans="1:10" x14ac:dyDescent="0.45">
      <c r="A122" s="4">
        <v>40354</v>
      </c>
      <c r="B122" s="10">
        <v>35.627316</v>
      </c>
      <c r="C122" s="11">
        <f t="shared" si="6"/>
        <v>-8.5501805044908077E-3</v>
      </c>
      <c r="D122" s="12">
        <f t="shared" si="7"/>
        <v>1.2462032535386003</v>
      </c>
      <c r="E122" s="16">
        <v>114.00973999999999</v>
      </c>
      <c r="F122" s="11">
        <f t="shared" si="8"/>
        <v>-8.3469871127782418E-3</v>
      </c>
      <c r="G122" s="12">
        <f t="shared" si="9"/>
        <v>0.9689925995603077</v>
      </c>
      <c r="H122" s="16">
        <v>12.573426</v>
      </c>
      <c r="I122" s="11">
        <f t="shared" si="10"/>
        <v>-1.1273210957014704E-2</v>
      </c>
      <c r="J122" s="12">
        <f t="shared" si="11"/>
        <v>0.97723811073077949</v>
      </c>
    </row>
    <row r="123" spans="1:10" x14ac:dyDescent="0.45">
      <c r="A123" s="4">
        <v>40357</v>
      </c>
      <c r="B123" s="10">
        <v>35.841054999999997</v>
      </c>
      <c r="C123" s="11">
        <f t="shared" si="6"/>
        <v>5.9993012103408743E-3</v>
      </c>
      <c r="D123" s="12">
        <f t="shared" si="7"/>
        <v>1.2536796022258854</v>
      </c>
      <c r="E123" s="16">
        <v>115.677907</v>
      </c>
      <c r="F123" s="11">
        <f t="shared" si="8"/>
        <v>1.463179373972795E-2</v>
      </c>
      <c r="G123" s="12">
        <f t="shared" si="9"/>
        <v>0.98317069941239699</v>
      </c>
      <c r="H123" s="16">
        <v>12.649322</v>
      </c>
      <c r="I123" s="11">
        <f t="shared" si="10"/>
        <v>6.0362227446998287E-3</v>
      </c>
      <c r="J123" s="12">
        <f t="shared" si="11"/>
        <v>0.98313693764176002</v>
      </c>
    </row>
    <row r="124" spans="1:10" x14ac:dyDescent="0.45">
      <c r="A124" s="4">
        <v>40358</v>
      </c>
      <c r="B124" s="10">
        <v>34.220655999999998</v>
      </c>
      <c r="C124" s="11">
        <f t="shared" si="6"/>
        <v>-4.5210694830272131E-2</v>
      </c>
      <c r="D124" s="12">
        <f t="shared" si="7"/>
        <v>1.1969998763147138</v>
      </c>
      <c r="E124" s="16">
        <v>112.189094</v>
      </c>
      <c r="F124" s="11">
        <f t="shared" si="8"/>
        <v>-3.0159717533616921E-2</v>
      </c>
      <c r="G124" s="12">
        <f t="shared" si="9"/>
        <v>0.95351854883079057</v>
      </c>
      <c r="H124" s="16">
        <v>12.210812000000001</v>
      </c>
      <c r="I124" s="11">
        <f t="shared" si="10"/>
        <v>-3.4666680158825833E-2</v>
      </c>
      <c r="J124" s="12">
        <f t="shared" si="11"/>
        <v>0.94905484387220562</v>
      </c>
    </row>
    <row r="125" spans="1:10" x14ac:dyDescent="0.45">
      <c r="A125" s="4">
        <v>40359</v>
      </c>
      <c r="B125" s="10">
        <v>33.600825999999998</v>
      </c>
      <c r="C125" s="11">
        <f t="shared" si="6"/>
        <v>-1.81127445365162E-2</v>
      </c>
      <c r="D125" s="12">
        <f t="shared" si="7"/>
        <v>1.1753189233447838</v>
      </c>
      <c r="E125" s="16">
        <v>110.74514499999999</v>
      </c>
      <c r="F125" s="11">
        <f t="shared" si="8"/>
        <v>-1.2870671725007455E-2</v>
      </c>
      <c r="G125" s="12">
        <f t="shared" si="9"/>
        <v>0.94124612460508394</v>
      </c>
      <c r="H125" s="16">
        <v>12.160215000000001</v>
      </c>
      <c r="I125" s="11">
        <f t="shared" si="10"/>
        <v>-4.1436228810991255E-3</v>
      </c>
      <c r="J125" s="12">
        <f t="shared" si="11"/>
        <v>0.94512231850571882</v>
      </c>
    </row>
    <row r="126" spans="1:10" x14ac:dyDescent="0.45">
      <c r="A126" s="4">
        <v>40360</v>
      </c>
      <c r="B126" s="10">
        <v>33.193382</v>
      </c>
      <c r="C126" s="11">
        <f t="shared" si="6"/>
        <v>-1.212601142602858E-2</v>
      </c>
      <c r="D126" s="12">
        <f t="shared" si="7"/>
        <v>1.1610669926510775</v>
      </c>
      <c r="E126" s="16">
        <v>109.92899199999999</v>
      </c>
      <c r="F126" s="11">
        <f t="shared" si="8"/>
        <v>-7.3696503806103637E-3</v>
      </c>
      <c r="G126" s="12">
        <f t="shared" si="9"/>
        <v>0.93430946974464013</v>
      </c>
      <c r="H126" s="16">
        <v>11.907228</v>
      </c>
      <c r="I126" s="11">
        <f t="shared" si="10"/>
        <v>-2.0804484131242824E-2</v>
      </c>
      <c r="J126" s="12">
        <f t="shared" si="11"/>
        <v>0.92545953622828314</v>
      </c>
    </row>
    <row r="127" spans="1:10" ht="16.5" thickBot="1" x14ac:dyDescent="0.5">
      <c r="A127" s="5">
        <v>40361</v>
      </c>
      <c r="B127" s="13">
        <v>32.987662</v>
      </c>
      <c r="C127" s="11">
        <f t="shared" si="6"/>
        <v>-6.1976209595032972E-3</v>
      </c>
      <c r="D127" s="12">
        <f t="shared" si="7"/>
        <v>1.1538711395220358</v>
      </c>
      <c r="E127" s="17">
        <v>109.29221800000001</v>
      </c>
      <c r="F127" s="11">
        <f t="shared" si="8"/>
        <v>-5.7925938227468554E-3</v>
      </c>
      <c r="G127" s="12">
        <f t="shared" si="9"/>
        <v>0.92889739448166342</v>
      </c>
      <c r="H127" s="17">
        <v>11.704839</v>
      </c>
      <c r="I127" s="11">
        <f t="shared" si="10"/>
        <v>-1.6997155005346345E-2</v>
      </c>
      <c r="J127" s="12">
        <f t="shared" si="11"/>
        <v>0.90972935703983504</v>
      </c>
    </row>
    <row r="128" spans="1:10" x14ac:dyDescent="0.45">
      <c r="A128" s="1"/>
      <c r="B128" s="2"/>
      <c r="C128" s="11"/>
      <c r="D128" s="11"/>
      <c r="E128" s="11"/>
      <c r="F128" s="11"/>
      <c r="G128" s="11"/>
      <c r="H128" s="11"/>
      <c r="I128" s="11"/>
      <c r="J128" s="11"/>
    </row>
    <row r="129" spans="1:10" x14ac:dyDescent="0.45">
      <c r="A129" s="1"/>
      <c r="B129" s="2"/>
      <c r="C129" s="11"/>
      <c r="D129" s="11"/>
      <c r="E129" s="11"/>
      <c r="F129" s="11"/>
      <c r="G129" s="11"/>
      <c r="H129" s="11"/>
      <c r="I129" s="11"/>
      <c r="J129" s="11"/>
    </row>
    <row r="130" spans="1:10" x14ac:dyDescent="0.45">
      <c r="A130" s="1"/>
      <c r="B130" s="2"/>
      <c r="C130" s="11"/>
      <c r="D130" s="11"/>
      <c r="E130" s="11"/>
      <c r="F130" s="11"/>
      <c r="G130" s="11"/>
      <c r="H130" s="11"/>
      <c r="I130" s="11"/>
      <c r="J130" s="11"/>
    </row>
    <row r="131" spans="1:10" x14ac:dyDescent="0.45">
      <c r="A131" s="1"/>
      <c r="B131" s="2"/>
      <c r="C131" s="11"/>
      <c r="D131" s="11"/>
      <c r="E131" s="11"/>
      <c r="F131" s="11"/>
      <c r="G131" s="11"/>
      <c r="H131" s="11"/>
      <c r="I131" s="11"/>
      <c r="J131" s="11"/>
    </row>
    <row r="132" spans="1:10" x14ac:dyDescent="0.45">
      <c r="A132" s="1"/>
      <c r="B132" s="2"/>
      <c r="C132" s="11"/>
      <c r="D132" s="11"/>
      <c r="E132" s="11"/>
      <c r="F132" s="11"/>
      <c r="G132" s="11"/>
      <c r="H132" s="11"/>
      <c r="I132" s="11"/>
      <c r="J132" s="11"/>
    </row>
    <row r="133" spans="1:10" x14ac:dyDescent="0.45">
      <c r="A133" s="1"/>
      <c r="B133" s="2"/>
      <c r="C133" s="11"/>
      <c r="D133" s="11"/>
      <c r="E133" s="11"/>
      <c r="F133" s="11"/>
      <c r="G133" s="11"/>
      <c r="H133" s="11"/>
      <c r="I133" s="11"/>
      <c r="J133" s="11"/>
    </row>
    <row r="134" spans="1:10" x14ac:dyDescent="0.45">
      <c r="A134" s="1"/>
      <c r="B134" s="2"/>
      <c r="C134" s="11"/>
      <c r="D134" s="11"/>
      <c r="E134" s="11"/>
      <c r="F134" s="11"/>
      <c r="G134" s="11"/>
      <c r="H134" s="11"/>
      <c r="I134" s="11"/>
      <c r="J134" s="11"/>
    </row>
    <row r="135" spans="1:10" x14ac:dyDescent="0.45">
      <c r="A135" s="1"/>
      <c r="B135" s="2"/>
      <c r="C135" s="11"/>
      <c r="D135" s="11"/>
      <c r="E135" s="11"/>
      <c r="F135" s="11"/>
      <c r="G135" s="11"/>
      <c r="H135" s="11"/>
      <c r="I135" s="11"/>
      <c r="J135" s="11"/>
    </row>
    <row r="136" spans="1:10" x14ac:dyDescent="0.45">
      <c r="A136" s="1"/>
      <c r="B136" s="2"/>
      <c r="C136" s="11"/>
      <c r="D136" s="11"/>
      <c r="E136" s="11"/>
      <c r="F136" s="11"/>
      <c r="G136" s="11"/>
      <c r="H136" s="11"/>
      <c r="I136" s="11"/>
      <c r="J136" s="11"/>
    </row>
    <row r="137" spans="1:10" x14ac:dyDescent="0.45">
      <c r="A137" s="1"/>
      <c r="B137" s="2"/>
      <c r="C137" s="11"/>
      <c r="D137" s="11"/>
      <c r="E137" s="11"/>
      <c r="F137" s="11"/>
      <c r="G137" s="11"/>
      <c r="H137" s="11"/>
      <c r="I137" s="11"/>
      <c r="J137" s="11"/>
    </row>
    <row r="138" spans="1:10" x14ac:dyDescent="0.45">
      <c r="A138" s="1"/>
      <c r="B138" s="2"/>
      <c r="C138" s="11"/>
      <c r="D138" s="11"/>
      <c r="E138" s="11"/>
      <c r="F138" s="11"/>
      <c r="G138" s="11"/>
      <c r="H138" s="11"/>
      <c r="I138" s="11"/>
      <c r="J138" s="11"/>
    </row>
    <row r="139" spans="1:10" x14ac:dyDescent="0.45">
      <c r="A139" s="1"/>
      <c r="B139" s="2"/>
      <c r="C139" s="11"/>
      <c r="D139" s="11"/>
      <c r="E139" s="11"/>
      <c r="F139" s="11"/>
      <c r="G139" s="11"/>
      <c r="H139" s="11"/>
      <c r="I139" s="11"/>
      <c r="J139" s="11"/>
    </row>
    <row r="140" spans="1:10" x14ac:dyDescent="0.45">
      <c r="A140" s="1"/>
      <c r="B140" s="2"/>
      <c r="C140" s="11"/>
      <c r="D140" s="11"/>
      <c r="E140" s="11"/>
      <c r="F140" s="11"/>
      <c r="G140" s="11"/>
      <c r="H140" s="11"/>
      <c r="I140" s="11"/>
      <c r="J140" s="11"/>
    </row>
    <row r="141" spans="1:10" x14ac:dyDescent="0.45">
      <c r="A141" s="1"/>
      <c r="B141" s="2"/>
      <c r="C141" s="11"/>
      <c r="D141" s="11"/>
      <c r="E141" s="11"/>
      <c r="F141" s="11"/>
      <c r="G141" s="11"/>
      <c r="H141" s="11"/>
      <c r="I141" s="11"/>
      <c r="J141" s="11"/>
    </row>
    <row r="142" spans="1:10" x14ac:dyDescent="0.45">
      <c r="A142" s="1"/>
      <c r="B142" s="2"/>
      <c r="C142" s="11"/>
      <c r="D142" s="11"/>
      <c r="E142" s="11"/>
      <c r="F142" s="11"/>
      <c r="G142" s="11"/>
      <c r="H142" s="11"/>
      <c r="I142" s="11"/>
      <c r="J142" s="11"/>
    </row>
    <row r="143" spans="1:10" x14ac:dyDescent="0.45">
      <c r="A143" s="1"/>
      <c r="B143" s="2"/>
      <c r="C143" s="11"/>
      <c r="D143" s="11"/>
      <c r="E143" s="11"/>
      <c r="F143" s="11"/>
      <c r="G143" s="11"/>
      <c r="H143" s="11"/>
      <c r="I143" s="11"/>
      <c r="J143" s="11"/>
    </row>
    <row r="144" spans="1:10" x14ac:dyDescent="0.45">
      <c r="A144" s="1"/>
      <c r="B144" s="2"/>
      <c r="C144" s="11"/>
      <c r="D144" s="11"/>
      <c r="E144" s="11"/>
      <c r="F144" s="11"/>
      <c r="G144" s="11"/>
      <c r="H144" s="11"/>
      <c r="I144" s="11"/>
      <c r="J144" s="11"/>
    </row>
    <row r="145" spans="1:10" x14ac:dyDescent="0.45">
      <c r="A145" s="1"/>
      <c r="B145" s="2"/>
      <c r="C145" s="11"/>
      <c r="D145" s="11"/>
      <c r="E145" s="11"/>
      <c r="F145" s="11"/>
      <c r="G145" s="11"/>
      <c r="H145" s="11"/>
      <c r="I145" s="11"/>
      <c r="J145" s="11"/>
    </row>
    <row r="146" spans="1:10" x14ac:dyDescent="0.45">
      <c r="A146" s="1"/>
      <c r="B146" s="2"/>
      <c r="C146" s="11"/>
      <c r="D146" s="11"/>
      <c r="E146" s="11"/>
      <c r="F146" s="11"/>
      <c r="G146" s="11"/>
      <c r="H146" s="11"/>
      <c r="I146" s="11"/>
      <c r="J146" s="11"/>
    </row>
    <row r="147" spans="1:10" x14ac:dyDescent="0.45">
      <c r="A147" s="1"/>
      <c r="B147" s="2"/>
      <c r="C147" s="11"/>
      <c r="D147" s="11"/>
      <c r="E147" s="11"/>
      <c r="F147" s="11"/>
      <c r="G147" s="11"/>
      <c r="H147" s="11"/>
      <c r="I147" s="11"/>
      <c r="J147" s="11"/>
    </row>
    <row r="148" spans="1:10" x14ac:dyDescent="0.45">
      <c r="A148" s="1"/>
      <c r="B148" s="2"/>
      <c r="C148" s="11"/>
      <c r="D148" s="11"/>
      <c r="E148" s="11"/>
      <c r="F148" s="11"/>
      <c r="G148" s="11"/>
      <c r="H148" s="11"/>
      <c r="I148" s="11"/>
      <c r="J148" s="11"/>
    </row>
    <row r="149" spans="1:10" x14ac:dyDescent="0.45">
      <c r="A149" s="1"/>
      <c r="B149" s="2"/>
      <c r="C149" s="11"/>
      <c r="D149" s="11"/>
      <c r="E149" s="11"/>
      <c r="F149" s="11"/>
      <c r="G149" s="11"/>
      <c r="H149" s="11"/>
      <c r="I149" s="11"/>
      <c r="J149" s="11"/>
    </row>
    <row r="150" spans="1:10" x14ac:dyDescent="0.45">
      <c r="A150" s="1"/>
      <c r="B150" s="2"/>
      <c r="C150" s="11"/>
      <c r="D150" s="11"/>
      <c r="E150" s="11"/>
      <c r="F150" s="11"/>
      <c r="G150" s="11"/>
      <c r="H150" s="11"/>
      <c r="I150" s="11"/>
      <c r="J150" s="11"/>
    </row>
    <row r="151" spans="1:10" x14ac:dyDescent="0.45">
      <c r="A151" s="1"/>
      <c r="B151" s="2"/>
      <c r="C151" s="11"/>
      <c r="D151" s="11"/>
      <c r="E151" s="11"/>
      <c r="F151" s="11"/>
      <c r="G151" s="11"/>
      <c r="H151" s="11"/>
      <c r="I151" s="11"/>
      <c r="J151" s="11"/>
    </row>
    <row r="152" spans="1:10" x14ac:dyDescent="0.45">
      <c r="A152" s="1"/>
      <c r="B152" s="2"/>
      <c r="C152" s="11"/>
      <c r="D152" s="11"/>
      <c r="E152" s="11"/>
      <c r="F152" s="11"/>
      <c r="G152" s="11"/>
      <c r="H152" s="11"/>
      <c r="I152" s="11"/>
      <c r="J152" s="11"/>
    </row>
    <row r="153" spans="1:10" x14ac:dyDescent="0.45">
      <c r="A153" s="1"/>
      <c r="B153" s="2"/>
      <c r="C153" s="11"/>
      <c r="D153" s="11"/>
      <c r="E153" s="11"/>
      <c r="F153" s="11"/>
      <c r="G153" s="11"/>
      <c r="H153" s="11"/>
      <c r="I153" s="11"/>
      <c r="J153" s="11"/>
    </row>
    <row r="154" spans="1:10" x14ac:dyDescent="0.45">
      <c r="A154" s="1"/>
      <c r="B154" s="2"/>
      <c r="C154" s="11"/>
      <c r="D154" s="11"/>
      <c r="E154" s="11"/>
      <c r="F154" s="11"/>
      <c r="G154" s="11"/>
      <c r="H154" s="11"/>
      <c r="I154" s="11"/>
      <c r="J154" s="11"/>
    </row>
    <row r="155" spans="1:10" x14ac:dyDescent="0.45">
      <c r="A155" s="1"/>
      <c r="B155" s="2"/>
      <c r="C155" s="11"/>
      <c r="D155" s="11"/>
      <c r="E155" s="11"/>
      <c r="F155" s="11"/>
      <c r="G155" s="11"/>
      <c r="H155" s="11"/>
      <c r="I155" s="11"/>
      <c r="J155" s="11"/>
    </row>
    <row r="156" spans="1:10" x14ac:dyDescent="0.45">
      <c r="A156" s="1"/>
      <c r="B156" s="2"/>
      <c r="C156" s="11"/>
      <c r="D156" s="11"/>
      <c r="E156" s="11"/>
      <c r="F156" s="11"/>
      <c r="G156" s="11"/>
      <c r="H156" s="11"/>
      <c r="I156" s="11"/>
      <c r="J156" s="11"/>
    </row>
    <row r="157" spans="1:10" x14ac:dyDescent="0.45">
      <c r="A157" s="1"/>
      <c r="B157" s="2"/>
      <c r="C157" s="11"/>
      <c r="D157" s="11"/>
      <c r="E157" s="11"/>
      <c r="F157" s="11"/>
      <c r="G157" s="11"/>
      <c r="H157" s="11"/>
      <c r="I157" s="11"/>
      <c r="J157" s="11"/>
    </row>
    <row r="158" spans="1:10" x14ac:dyDescent="0.45">
      <c r="A158" s="1"/>
      <c r="B158" s="2"/>
      <c r="C158" s="11"/>
      <c r="D158" s="11"/>
      <c r="E158" s="11"/>
      <c r="F158" s="11"/>
      <c r="G158" s="11"/>
      <c r="H158" s="11"/>
      <c r="I158" s="11"/>
      <c r="J158" s="11"/>
    </row>
    <row r="159" spans="1:10" x14ac:dyDescent="0.45">
      <c r="A159" s="1"/>
      <c r="B159" s="2"/>
      <c r="C159" s="11"/>
      <c r="D159" s="11"/>
      <c r="E159" s="11"/>
      <c r="F159" s="11"/>
      <c r="G159" s="11"/>
      <c r="H159" s="11"/>
      <c r="I159" s="11"/>
      <c r="J159" s="11"/>
    </row>
    <row r="160" spans="1:10" x14ac:dyDescent="0.45">
      <c r="A160" s="1"/>
      <c r="B160" s="2"/>
      <c r="C160" s="11"/>
      <c r="D160" s="11"/>
      <c r="E160" s="11"/>
      <c r="F160" s="11"/>
      <c r="G160" s="11"/>
      <c r="H160" s="11"/>
      <c r="I160" s="11"/>
      <c r="J160" s="11"/>
    </row>
    <row r="161" spans="1:10" x14ac:dyDescent="0.45">
      <c r="A161" s="1"/>
      <c r="B161" s="2"/>
      <c r="C161" s="11"/>
      <c r="D161" s="11"/>
      <c r="E161" s="11"/>
      <c r="F161" s="11"/>
      <c r="G161" s="11"/>
      <c r="H161" s="11"/>
      <c r="I161" s="11"/>
      <c r="J161" s="11"/>
    </row>
    <row r="162" spans="1:10" x14ac:dyDescent="0.45">
      <c r="A162" s="1"/>
      <c r="B162" s="2"/>
      <c r="C162" s="11"/>
      <c r="D162" s="11"/>
      <c r="E162" s="11"/>
      <c r="F162" s="11"/>
      <c r="G162" s="11"/>
      <c r="H162" s="11"/>
      <c r="I162" s="11"/>
      <c r="J162" s="11"/>
    </row>
    <row r="163" spans="1:10" x14ac:dyDescent="0.45">
      <c r="A163" s="1"/>
      <c r="B163" s="2"/>
      <c r="C163" s="11"/>
      <c r="D163" s="11"/>
      <c r="E163" s="11"/>
      <c r="F163" s="11"/>
      <c r="G163" s="11"/>
      <c r="H163" s="11"/>
      <c r="I163" s="11"/>
      <c r="J163" s="11"/>
    </row>
    <row r="164" spans="1:10" x14ac:dyDescent="0.45">
      <c r="A164" s="1"/>
      <c r="B164" s="2"/>
      <c r="C164" s="11"/>
      <c r="D164" s="11"/>
      <c r="E164" s="11"/>
      <c r="F164" s="11"/>
      <c r="G164" s="11"/>
      <c r="H164" s="11"/>
      <c r="I164" s="11"/>
      <c r="J164" s="11"/>
    </row>
    <row r="165" spans="1:10" x14ac:dyDescent="0.45">
      <c r="A165" s="1"/>
      <c r="B165" s="2"/>
      <c r="C165" s="11"/>
      <c r="D165" s="11"/>
      <c r="E165" s="11"/>
      <c r="F165" s="11"/>
      <c r="G165" s="11"/>
      <c r="H165" s="11"/>
      <c r="I165" s="11"/>
      <c r="J165" s="11"/>
    </row>
    <row r="166" spans="1:10" x14ac:dyDescent="0.45">
      <c r="A166" s="1"/>
      <c r="B166" s="2"/>
      <c r="C166" s="11"/>
      <c r="D166" s="11"/>
      <c r="E166" s="11"/>
      <c r="F166" s="11"/>
      <c r="G166" s="11"/>
      <c r="H166" s="11"/>
      <c r="I166" s="11"/>
      <c r="J166" s="11"/>
    </row>
    <row r="167" spans="1:10" x14ac:dyDescent="0.45">
      <c r="A167" s="1"/>
      <c r="B167" s="2"/>
      <c r="C167" s="11"/>
      <c r="D167" s="11"/>
      <c r="E167" s="11"/>
      <c r="F167" s="11"/>
      <c r="G167" s="11"/>
      <c r="H167" s="11"/>
      <c r="I167" s="11"/>
      <c r="J167" s="11"/>
    </row>
    <row r="168" spans="1:10" x14ac:dyDescent="0.45">
      <c r="A168" s="1"/>
      <c r="B168" s="2"/>
      <c r="C168" s="11"/>
      <c r="D168" s="11"/>
      <c r="E168" s="11"/>
      <c r="F168" s="11"/>
      <c r="G168" s="11"/>
      <c r="H168" s="11"/>
      <c r="I168" s="11"/>
      <c r="J168" s="11"/>
    </row>
    <row r="169" spans="1:10" x14ac:dyDescent="0.45">
      <c r="A169" s="1"/>
      <c r="B169" s="2"/>
      <c r="C169" s="11"/>
      <c r="D169" s="11"/>
      <c r="E169" s="11"/>
      <c r="F169" s="11"/>
      <c r="G169" s="11"/>
      <c r="H169" s="11"/>
      <c r="I169" s="11"/>
      <c r="J169" s="11"/>
    </row>
    <row r="170" spans="1:10" x14ac:dyDescent="0.45">
      <c r="A170" s="1"/>
      <c r="B170" s="2"/>
      <c r="C170" s="11"/>
      <c r="D170" s="11"/>
      <c r="E170" s="11"/>
      <c r="F170" s="11"/>
      <c r="G170" s="11"/>
      <c r="H170" s="11"/>
      <c r="I170" s="11"/>
      <c r="J170" s="11"/>
    </row>
    <row r="171" spans="1:10" x14ac:dyDescent="0.45">
      <c r="A171" s="1"/>
      <c r="B171" s="2"/>
      <c r="C171" s="11"/>
      <c r="D171" s="11"/>
      <c r="E171" s="11"/>
      <c r="F171" s="11"/>
      <c r="G171" s="11"/>
      <c r="H171" s="11"/>
      <c r="I171" s="11"/>
      <c r="J171" s="11"/>
    </row>
    <row r="172" spans="1:10" x14ac:dyDescent="0.45">
      <c r="A172" s="1"/>
      <c r="B172" s="2"/>
      <c r="C172" s="11"/>
      <c r="D172" s="11"/>
      <c r="E172" s="11"/>
      <c r="F172" s="11"/>
      <c r="G172" s="11"/>
      <c r="H172" s="11"/>
      <c r="I172" s="11"/>
      <c r="J172" s="11"/>
    </row>
    <row r="173" spans="1:10" x14ac:dyDescent="0.45">
      <c r="A173" s="1"/>
      <c r="B173" s="2"/>
      <c r="C173" s="11"/>
      <c r="D173" s="11"/>
      <c r="E173" s="11"/>
      <c r="F173" s="11"/>
      <c r="G173" s="11"/>
      <c r="H173" s="11"/>
      <c r="I173" s="11"/>
      <c r="J173" s="11"/>
    </row>
    <row r="174" spans="1:10" x14ac:dyDescent="0.45">
      <c r="A174" s="1"/>
      <c r="B174" s="2"/>
      <c r="C174" s="11"/>
      <c r="D174" s="11"/>
      <c r="E174" s="11"/>
      <c r="F174" s="11"/>
      <c r="G174" s="11"/>
      <c r="H174" s="11"/>
      <c r="I174" s="11"/>
      <c r="J174" s="11"/>
    </row>
    <row r="175" spans="1:10" x14ac:dyDescent="0.45">
      <c r="A175" s="1"/>
      <c r="B175" s="2"/>
      <c r="C175" s="11"/>
      <c r="D175" s="11"/>
      <c r="E175" s="11"/>
      <c r="F175" s="11"/>
      <c r="G175" s="11"/>
      <c r="H175" s="11"/>
      <c r="I175" s="11"/>
      <c r="J175" s="11"/>
    </row>
    <row r="176" spans="1:10" x14ac:dyDescent="0.45">
      <c r="A176" s="1"/>
      <c r="B176" s="2"/>
      <c r="C176" s="11"/>
      <c r="D176" s="11"/>
      <c r="E176" s="11"/>
      <c r="F176" s="11"/>
      <c r="G176" s="11"/>
      <c r="H176" s="11"/>
      <c r="I176" s="11"/>
      <c r="J176" s="11"/>
    </row>
    <row r="177" spans="1:10" x14ac:dyDescent="0.45">
      <c r="A177" s="1"/>
      <c r="B177" s="2"/>
      <c r="C177" s="11"/>
      <c r="D177" s="11"/>
      <c r="E177" s="11"/>
      <c r="F177" s="11"/>
      <c r="G177" s="11"/>
      <c r="H177" s="11"/>
      <c r="I177" s="11"/>
      <c r="J177" s="11"/>
    </row>
    <row r="178" spans="1:10" x14ac:dyDescent="0.45">
      <c r="A178" s="1"/>
      <c r="B178" s="2"/>
      <c r="C178" s="11"/>
      <c r="D178" s="11"/>
      <c r="E178" s="11"/>
      <c r="F178" s="11"/>
      <c r="G178" s="11"/>
      <c r="H178" s="11"/>
      <c r="I178" s="11"/>
      <c r="J178" s="11"/>
    </row>
    <row r="179" spans="1:10" x14ac:dyDescent="0.45">
      <c r="A179" s="1"/>
      <c r="B179" s="2"/>
      <c r="C179" s="11"/>
      <c r="D179" s="11"/>
      <c r="E179" s="11"/>
      <c r="F179" s="11"/>
      <c r="G179" s="11"/>
      <c r="H179" s="11"/>
      <c r="I179" s="11"/>
      <c r="J179" s="11"/>
    </row>
    <row r="180" spans="1:10" x14ac:dyDescent="0.45">
      <c r="A180" s="1"/>
      <c r="B180" s="2"/>
      <c r="C180" s="11"/>
      <c r="D180" s="11"/>
      <c r="E180" s="11"/>
      <c r="F180" s="11"/>
      <c r="G180" s="11"/>
      <c r="H180" s="11"/>
      <c r="I180" s="11"/>
      <c r="J180" s="11"/>
    </row>
    <row r="181" spans="1:10" x14ac:dyDescent="0.45">
      <c r="A181" s="1"/>
      <c r="B181" s="2"/>
      <c r="C181" s="11"/>
      <c r="D181" s="11"/>
      <c r="E181" s="11"/>
      <c r="F181" s="11"/>
      <c r="G181" s="11"/>
      <c r="H181" s="11"/>
      <c r="I181" s="11"/>
      <c r="J181" s="11"/>
    </row>
    <row r="182" spans="1:10" x14ac:dyDescent="0.45">
      <c r="A182" s="1"/>
      <c r="B182" s="2"/>
      <c r="C182" s="11"/>
      <c r="D182" s="11"/>
      <c r="E182" s="11"/>
      <c r="F182" s="11"/>
      <c r="G182" s="11"/>
      <c r="H182" s="11"/>
      <c r="I182" s="11"/>
      <c r="J182" s="11"/>
    </row>
    <row r="183" spans="1:10" x14ac:dyDescent="0.45">
      <c r="A183" s="1"/>
      <c r="B183" s="2"/>
      <c r="C183" s="11"/>
      <c r="D183" s="11"/>
      <c r="E183" s="11"/>
      <c r="F183" s="11"/>
      <c r="G183" s="11"/>
      <c r="H183" s="11"/>
      <c r="I183" s="11"/>
      <c r="J183" s="11"/>
    </row>
    <row r="184" spans="1:10" x14ac:dyDescent="0.45">
      <c r="A184" s="1"/>
      <c r="B184" s="2"/>
      <c r="C184" s="11"/>
      <c r="D184" s="11"/>
      <c r="E184" s="11"/>
      <c r="F184" s="11"/>
      <c r="G184" s="11"/>
      <c r="H184" s="11"/>
      <c r="I184" s="11"/>
      <c r="J184" s="11"/>
    </row>
    <row r="185" spans="1:10" x14ac:dyDescent="0.45">
      <c r="A185" s="1"/>
      <c r="B185" s="2"/>
      <c r="C185" s="11"/>
      <c r="D185" s="11"/>
      <c r="E185" s="11"/>
      <c r="F185" s="11"/>
      <c r="G185" s="11"/>
      <c r="H185" s="11"/>
      <c r="I185" s="11"/>
      <c r="J185" s="11"/>
    </row>
    <row r="186" spans="1:10" x14ac:dyDescent="0.45">
      <c r="A186" s="1"/>
      <c r="B186" s="2"/>
      <c r="C186" s="11"/>
      <c r="D186" s="11"/>
      <c r="E186" s="11"/>
      <c r="F186" s="11"/>
      <c r="G186" s="11"/>
      <c r="H186" s="11"/>
      <c r="I186" s="11"/>
      <c r="J186" s="11"/>
    </row>
    <row r="187" spans="1:10" x14ac:dyDescent="0.45">
      <c r="A187" s="1"/>
      <c r="B187" s="2"/>
      <c r="C187" s="11"/>
      <c r="D187" s="11"/>
      <c r="E187" s="11"/>
      <c r="F187" s="11"/>
      <c r="G187" s="11"/>
      <c r="H187" s="11"/>
      <c r="I187" s="11"/>
      <c r="J187" s="11"/>
    </row>
    <row r="188" spans="1:10" x14ac:dyDescent="0.45">
      <c r="A188" s="1"/>
      <c r="B188" s="2"/>
      <c r="C188" s="11"/>
      <c r="D188" s="11"/>
      <c r="E188" s="11"/>
      <c r="F188" s="11"/>
      <c r="G188" s="11"/>
      <c r="H188" s="11"/>
      <c r="I188" s="11"/>
      <c r="J188" s="11"/>
    </row>
    <row r="189" spans="1:10" x14ac:dyDescent="0.45">
      <c r="A189" s="1"/>
      <c r="B189" s="2"/>
      <c r="C189" s="11"/>
      <c r="D189" s="11"/>
      <c r="E189" s="11"/>
      <c r="F189" s="11"/>
      <c r="G189" s="11"/>
      <c r="H189" s="11"/>
      <c r="I189" s="11"/>
      <c r="J189" s="11"/>
    </row>
    <row r="190" spans="1:10" x14ac:dyDescent="0.45">
      <c r="A190" s="1"/>
      <c r="B190" s="2"/>
      <c r="C190" s="11"/>
      <c r="D190" s="11"/>
      <c r="E190" s="11"/>
      <c r="F190" s="11"/>
      <c r="G190" s="11"/>
      <c r="H190" s="11"/>
      <c r="I190" s="11"/>
      <c r="J190" s="11"/>
    </row>
    <row r="191" spans="1:10" x14ac:dyDescent="0.45">
      <c r="A191" s="1"/>
      <c r="B191" s="2"/>
      <c r="C191" s="11"/>
      <c r="D191" s="11"/>
      <c r="E191" s="11"/>
      <c r="F191" s="11"/>
      <c r="G191" s="11"/>
      <c r="H191" s="11"/>
      <c r="I191" s="11"/>
      <c r="J191" s="11"/>
    </row>
    <row r="192" spans="1:10" x14ac:dyDescent="0.45">
      <c r="A192" s="1"/>
      <c r="B192" s="2"/>
      <c r="C192" s="11"/>
      <c r="D192" s="11"/>
      <c r="E192" s="11"/>
      <c r="F192" s="11"/>
      <c r="G192" s="11"/>
      <c r="H192" s="11"/>
      <c r="I192" s="11"/>
      <c r="J192" s="11"/>
    </row>
    <row r="193" spans="1:10" x14ac:dyDescent="0.45">
      <c r="A193" s="1"/>
      <c r="B193" s="2"/>
      <c r="C193" s="11"/>
      <c r="D193" s="11"/>
      <c r="E193" s="11"/>
      <c r="F193" s="11"/>
      <c r="G193" s="11"/>
      <c r="H193" s="11"/>
      <c r="I193" s="11"/>
      <c r="J193" s="11"/>
    </row>
    <row r="194" spans="1:10" x14ac:dyDescent="0.45">
      <c r="A194" s="1"/>
      <c r="B194" s="2"/>
      <c r="C194" s="11"/>
      <c r="D194" s="11"/>
      <c r="E194" s="11"/>
      <c r="F194" s="11"/>
      <c r="G194" s="11"/>
      <c r="H194" s="11"/>
      <c r="I194" s="11"/>
      <c r="J194" s="11"/>
    </row>
    <row r="195" spans="1:10" x14ac:dyDescent="0.45">
      <c r="A195" s="1"/>
      <c r="B195" s="2"/>
      <c r="C195" s="11"/>
      <c r="D195" s="11"/>
      <c r="E195" s="11"/>
      <c r="F195" s="11"/>
      <c r="G195" s="11"/>
      <c r="H195" s="11"/>
      <c r="I195" s="11"/>
      <c r="J195" s="11"/>
    </row>
    <row r="196" spans="1:10" x14ac:dyDescent="0.45">
      <c r="A196" s="1"/>
      <c r="B196" s="2"/>
      <c r="C196" s="11"/>
      <c r="D196" s="11"/>
      <c r="E196" s="11"/>
      <c r="F196" s="11"/>
      <c r="G196" s="11"/>
      <c r="H196" s="11"/>
      <c r="I196" s="11"/>
      <c r="J196" s="11"/>
    </row>
    <row r="197" spans="1:10" x14ac:dyDescent="0.45">
      <c r="A197" s="1"/>
      <c r="B197" s="2"/>
      <c r="C197" s="11"/>
      <c r="D197" s="11"/>
      <c r="E197" s="11"/>
      <c r="F197" s="11"/>
      <c r="G197" s="11"/>
      <c r="H197" s="11"/>
      <c r="I197" s="11"/>
      <c r="J197" s="11"/>
    </row>
    <row r="198" spans="1:10" x14ac:dyDescent="0.45">
      <c r="A198" s="1"/>
      <c r="B198" s="2"/>
      <c r="C198" s="11"/>
      <c r="D198" s="11"/>
      <c r="E198" s="11"/>
      <c r="F198" s="11"/>
      <c r="G198" s="11"/>
      <c r="H198" s="11"/>
      <c r="I198" s="11"/>
      <c r="J198" s="11"/>
    </row>
    <row r="199" spans="1:10" x14ac:dyDescent="0.45">
      <c r="A199" s="1"/>
      <c r="B199" s="2"/>
      <c r="C199" s="11"/>
      <c r="D199" s="11"/>
      <c r="E199" s="11"/>
      <c r="F199" s="11"/>
      <c r="G199" s="11"/>
      <c r="H199" s="11"/>
      <c r="I199" s="11"/>
      <c r="J199" s="11"/>
    </row>
    <row r="200" spans="1:10" x14ac:dyDescent="0.45">
      <c r="A200" s="1"/>
      <c r="B200" s="2"/>
      <c r="C200" s="11"/>
      <c r="D200" s="11"/>
      <c r="E200" s="11"/>
      <c r="F200" s="11"/>
      <c r="G200" s="11"/>
      <c r="H200" s="11"/>
      <c r="I200" s="11"/>
      <c r="J200" s="11"/>
    </row>
    <row r="201" spans="1:10" x14ac:dyDescent="0.45">
      <c r="A201" s="1"/>
      <c r="B201" s="2"/>
      <c r="C201" s="11"/>
      <c r="D201" s="11"/>
      <c r="E201" s="11"/>
      <c r="F201" s="11"/>
      <c r="G201" s="11"/>
      <c r="H201" s="11"/>
      <c r="I201" s="11"/>
      <c r="J201" s="11"/>
    </row>
    <row r="202" spans="1:10" x14ac:dyDescent="0.45">
      <c r="A202" s="1"/>
      <c r="B202" s="2"/>
      <c r="C202" s="11"/>
      <c r="D202" s="11"/>
      <c r="E202" s="11"/>
      <c r="F202" s="11"/>
      <c r="G202" s="11"/>
      <c r="H202" s="11"/>
      <c r="I202" s="11"/>
      <c r="J202" s="11"/>
    </row>
    <row r="203" spans="1:10" x14ac:dyDescent="0.45">
      <c r="A203" s="1"/>
      <c r="B203" s="2"/>
      <c r="C203" s="11"/>
      <c r="D203" s="11"/>
      <c r="E203" s="11"/>
      <c r="F203" s="11"/>
      <c r="G203" s="11"/>
      <c r="H203" s="11"/>
      <c r="I203" s="11"/>
      <c r="J203" s="11"/>
    </row>
    <row r="204" spans="1:10" x14ac:dyDescent="0.45">
      <c r="A204" s="1"/>
      <c r="B204" s="2"/>
      <c r="C204" s="11"/>
      <c r="D204" s="11"/>
      <c r="E204" s="11"/>
      <c r="F204" s="11"/>
      <c r="G204" s="11"/>
      <c r="H204" s="11"/>
      <c r="I204" s="11"/>
      <c r="J204" s="11"/>
    </row>
    <row r="205" spans="1:10" x14ac:dyDescent="0.45">
      <c r="A205" s="1"/>
      <c r="B205" s="2"/>
      <c r="C205" s="11"/>
      <c r="D205" s="11"/>
      <c r="E205" s="11"/>
      <c r="F205" s="11"/>
      <c r="G205" s="11"/>
      <c r="H205" s="11"/>
      <c r="I205" s="11"/>
      <c r="J205" s="11"/>
    </row>
    <row r="206" spans="1:10" x14ac:dyDescent="0.45">
      <c r="A206" s="1"/>
      <c r="B206" s="2"/>
      <c r="C206" s="11"/>
      <c r="D206" s="11"/>
      <c r="E206" s="11"/>
      <c r="F206" s="11"/>
      <c r="G206" s="11"/>
      <c r="H206" s="11"/>
      <c r="I206" s="11"/>
      <c r="J206" s="11"/>
    </row>
    <row r="207" spans="1:10" x14ac:dyDescent="0.45">
      <c r="A207" s="1"/>
      <c r="B207" s="2"/>
      <c r="C207" s="11"/>
      <c r="D207" s="11"/>
      <c r="E207" s="11"/>
      <c r="F207" s="11"/>
      <c r="G207" s="11"/>
      <c r="H207" s="11"/>
      <c r="I207" s="11"/>
      <c r="J207" s="11"/>
    </row>
    <row r="208" spans="1:10" x14ac:dyDescent="0.45">
      <c r="A208" s="1"/>
      <c r="B208" s="2"/>
      <c r="C208" s="11"/>
      <c r="D208" s="11"/>
      <c r="E208" s="11"/>
      <c r="F208" s="11"/>
      <c r="G208" s="11"/>
      <c r="H208" s="11"/>
      <c r="I208" s="11"/>
      <c r="J208" s="11"/>
    </row>
    <row r="209" spans="1:10" x14ac:dyDescent="0.45">
      <c r="A209" s="1"/>
      <c r="B209" s="2"/>
      <c r="C209" s="11"/>
      <c r="D209" s="11"/>
      <c r="E209" s="11"/>
      <c r="F209" s="11"/>
      <c r="G209" s="11"/>
      <c r="H209" s="11"/>
      <c r="I209" s="11"/>
      <c r="J209" s="11"/>
    </row>
    <row r="210" spans="1:10" x14ac:dyDescent="0.45">
      <c r="A210" s="1"/>
      <c r="B210" s="2"/>
      <c r="C210" s="11"/>
      <c r="D210" s="11"/>
      <c r="E210" s="11"/>
      <c r="F210" s="11"/>
      <c r="G210" s="11"/>
      <c r="H210" s="11"/>
      <c r="I210" s="11"/>
      <c r="J210" s="11"/>
    </row>
    <row r="211" spans="1:10" x14ac:dyDescent="0.45">
      <c r="A211" s="1"/>
      <c r="B211" s="2"/>
      <c r="C211" s="11"/>
      <c r="D211" s="11"/>
      <c r="E211" s="11"/>
      <c r="F211" s="11"/>
      <c r="G211" s="11"/>
      <c r="H211" s="11"/>
      <c r="I211" s="11"/>
      <c r="J211" s="11"/>
    </row>
    <row r="212" spans="1:10" x14ac:dyDescent="0.45">
      <c r="A212" s="1"/>
      <c r="B212" s="2"/>
      <c r="C212" s="11"/>
      <c r="D212" s="11"/>
      <c r="E212" s="11"/>
      <c r="F212" s="11"/>
      <c r="G212" s="11"/>
      <c r="H212" s="11"/>
      <c r="I212" s="11"/>
      <c r="J212" s="11"/>
    </row>
    <row r="213" spans="1:10" x14ac:dyDescent="0.45">
      <c r="A213" s="1"/>
      <c r="B213" s="2"/>
      <c r="C213" s="11"/>
      <c r="D213" s="11"/>
      <c r="E213" s="11"/>
      <c r="F213" s="11"/>
      <c r="G213" s="11"/>
      <c r="H213" s="11"/>
      <c r="I213" s="11"/>
      <c r="J213" s="11"/>
    </row>
    <row r="214" spans="1:10" x14ac:dyDescent="0.45">
      <c r="A214" s="1"/>
      <c r="B214" s="2"/>
      <c r="C214" s="11"/>
      <c r="D214" s="11"/>
      <c r="E214" s="11"/>
      <c r="F214" s="11"/>
      <c r="G214" s="11"/>
      <c r="H214" s="11"/>
      <c r="I214" s="11"/>
      <c r="J214" s="11"/>
    </row>
    <row r="215" spans="1:10" x14ac:dyDescent="0.45">
      <c r="A215" s="1"/>
      <c r="B215" s="2"/>
      <c r="C215" s="11"/>
      <c r="D215" s="11"/>
      <c r="E215" s="11"/>
      <c r="F215" s="11"/>
      <c r="G215" s="11"/>
      <c r="H215" s="11"/>
      <c r="I215" s="11"/>
      <c r="J215" s="11"/>
    </row>
    <row r="216" spans="1:10" x14ac:dyDescent="0.45">
      <c r="A216" s="1"/>
      <c r="B216" s="2"/>
      <c r="C216" s="11"/>
      <c r="D216" s="11"/>
      <c r="E216" s="11"/>
      <c r="F216" s="11"/>
      <c r="G216" s="11"/>
      <c r="H216" s="11"/>
      <c r="I216" s="11"/>
      <c r="J216" s="11"/>
    </row>
    <row r="217" spans="1:10" x14ac:dyDescent="0.45">
      <c r="A217" s="1"/>
      <c r="B217" s="2"/>
      <c r="C217" s="11"/>
      <c r="D217" s="11"/>
      <c r="E217" s="11"/>
      <c r="F217" s="11"/>
      <c r="G217" s="11"/>
      <c r="H217" s="11"/>
      <c r="I217" s="11"/>
      <c r="J217" s="11"/>
    </row>
    <row r="218" spans="1:10" x14ac:dyDescent="0.45">
      <c r="A218" s="1"/>
      <c r="B218" s="2"/>
      <c r="C218" s="11"/>
      <c r="D218" s="11"/>
      <c r="E218" s="11"/>
      <c r="F218" s="11"/>
      <c r="G218" s="11"/>
      <c r="H218" s="11"/>
      <c r="I218" s="11"/>
      <c r="J218" s="11"/>
    </row>
    <row r="219" spans="1:10" x14ac:dyDescent="0.45">
      <c r="A219" s="1"/>
      <c r="B219" s="2"/>
      <c r="C219" s="11"/>
      <c r="D219" s="11"/>
      <c r="E219" s="11"/>
      <c r="F219" s="11"/>
      <c r="G219" s="11"/>
      <c r="H219" s="11"/>
      <c r="I219" s="11"/>
      <c r="J219" s="11"/>
    </row>
    <row r="220" spans="1:10" x14ac:dyDescent="0.45">
      <c r="A220" s="1"/>
      <c r="B220" s="2"/>
      <c r="C220" s="11"/>
      <c r="D220" s="11"/>
      <c r="E220" s="11"/>
      <c r="F220" s="11"/>
      <c r="G220" s="11"/>
      <c r="H220" s="11"/>
      <c r="I220" s="11"/>
      <c r="J220" s="11"/>
    </row>
    <row r="221" spans="1:10" x14ac:dyDescent="0.45">
      <c r="A221" s="1"/>
      <c r="B221" s="2"/>
      <c r="C221" s="11"/>
      <c r="D221" s="11"/>
      <c r="E221" s="11"/>
      <c r="F221" s="11"/>
      <c r="G221" s="11"/>
      <c r="H221" s="11"/>
      <c r="I221" s="11"/>
      <c r="J221" s="11"/>
    </row>
    <row r="222" spans="1:10" x14ac:dyDescent="0.45">
      <c r="A222" s="1"/>
      <c r="B222" s="2"/>
      <c r="C222" s="11"/>
      <c r="D222" s="11"/>
      <c r="E222" s="11"/>
      <c r="F222" s="11"/>
      <c r="G222" s="11"/>
      <c r="H222" s="11"/>
      <c r="I222" s="11"/>
      <c r="J222" s="11"/>
    </row>
    <row r="223" spans="1:10" x14ac:dyDescent="0.45">
      <c r="A223" s="1"/>
      <c r="B223" s="2"/>
      <c r="C223" s="11"/>
      <c r="D223" s="11"/>
      <c r="E223" s="11"/>
      <c r="F223" s="11"/>
      <c r="G223" s="11"/>
      <c r="H223" s="11"/>
      <c r="I223" s="11"/>
      <c r="J223" s="11"/>
    </row>
    <row r="224" spans="1:10" x14ac:dyDescent="0.45">
      <c r="A224" s="1"/>
      <c r="B224" s="2"/>
      <c r="C224" s="11"/>
      <c r="D224" s="11"/>
      <c r="E224" s="11"/>
      <c r="F224" s="11"/>
      <c r="G224" s="11"/>
      <c r="H224" s="11"/>
      <c r="I224" s="11"/>
      <c r="J224" s="11"/>
    </row>
    <row r="225" spans="1:10" x14ac:dyDescent="0.45">
      <c r="A225" s="1"/>
      <c r="B225" s="2"/>
      <c r="C225" s="11"/>
      <c r="D225" s="11"/>
      <c r="E225" s="11"/>
      <c r="F225" s="11"/>
      <c r="G225" s="11"/>
      <c r="H225" s="11"/>
      <c r="I225" s="11"/>
      <c r="J225" s="11"/>
    </row>
    <row r="226" spans="1:10" x14ac:dyDescent="0.45">
      <c r="A226" s="1"/>
      <c r="B226" s="2"/>
      <c r="C226" s="11"/>
      <c r="D226" s="11"/>
      <c r="E226" s="11"/>
      <c r="F226" s="11"/>
      <c r="G226" s="11"/>
      <c r="H226" s="11"/>
      <c r="I226" s="11"/>
      <c r="J226" s="11"/>
    </row>
    <row r="227" spans="1:10" x14ac:dyDescent="0.45">
      <c r="A227" s="1"/>
      <c r="B227" s="2"/>
      <c r="C227" s="11"/>
      <c r="D227" s="11"/>
      <c r="E227" s="11"/>
      <c r="F227" s="11"/>
      <c r="G227" s="11"/>
      <c r="H227" s="11"/>
      <c r="I227" s="11"/>
      <c r="J227" s="11"/>
    </row>
    <row r="228" spans="1:10" x14ac:dyDescent="0.45">
      <c r="A228" s="1"/>
      <c r="B228" s="2"/>
      <c r="C228" s="11"/>
      <c r="D228" s="11"/>
      <c r="E228" s="11"/>
      <c r="F228" s="11"/>
      <c r="G228" s="11"/>
      <c r="H228" s="11"/>
      <c r="I228" s="11"/>
      <c r="J228" s="11"/>
    </row>
    <row r="229" spans="1:10" x14ac:dyDescent="0.45">
      <c r="A229" s="1"/>
      <c r="B229" s="2"/>
      <c r="C229" s="11"/>
      <c r="D229" s="11"/>
      <c r="E229" s="11"/>
      <c r="F229" s="11"/>
      <c r="G229" s="11"/>
      <c r="H229" s="11"/>
      <c r="I229" s="11"/>
      <c r="J229" s="11"/>
    </row>
    <row r="230" spans="1:10" x14ac:dyDescent="0.45">
      <c r="A230" s="1"/>
      <c r="B230" s="2"/>
      <c r="C230" s="11"/>
      <c r="D230" s="11"/>
      <c r="E230" s="11"/>
      <c r="F230" s="11"/>
      <c r="G230" s="11"/>
      <c r="H230" s="11"/>
      <c r="I230" s="11"/>
      <c r="J230" s="11"/>
    </row>
    <row r="231" spans="1:10" x14ac:dyDescent="0.45">
      <c r="A231" s="1"/>
      <c r="B231" s="2"/>
      <c r="C231" s="11"/>
      <c r="D231" s="11"/>
      <c r="E231" s="11"/>
      <c r="F231" s="11"/>
      <c r="G231" s="11"/>
      <c r="H231" s="11"/>
      <c r="I231" s="11"/>
      <c r="J231" s="11"/>
    </row>
    <row r="232" spans="1:10" x14ac:dyDescent="0.45">
      <c r="A232" s="1"/>
      <c r="B232" s="2"/>
      <c r="C232" s="11"/>
      <c r="D232" s="11"/>
      <c r="E232" s="11"/>
      <c r="F232" s="11"/>
      <c r="G232" s="11"/>
      <c r="H232" s="11"/>
      <c r="I232" s="11"/>
      <c r="J232" s="11"/>
    </row>
    <row r="233" spans="1:10" x14ac:dyDescent="0.45">
      <c r="A233" s="1"/>
      <c r="B233" s="2"/>
      <c r="C233" s="11"/>
      <c r="D233" s="11"/>
      <c r="E233" s="11"/>
      <c r="F233" s="11"/>
      <c r="G233" s="11"/>
      <c r="H233" s="11"/>
      <c r="I233" s="11"/>
      <c r="J233" s="11"/>
    </row>
    <row r="234" spans="1:10" x14ac:dyDescent="0.45">
      <c r="A234" s="1"/>
      <c r="B234" s="2"/>
      <c r="C234" s="11"/>
      <c r="D234" s="11"/>
      <c r="E234" s="11"/>
      <c r="F234" s="11"/>
      <c r="G234" s="11"/>
      <c r="H234" s="11"/>
      <c r="I234" s="11"/>
      <c r="J234" s="11"/>
    </row>
    <row r="235" spans="1:10" x14ac:dyDescent="0.45">
      <c r="A235" s="1"/>
      <c r="B235" s="2"/>
      <c r="C235" s="11"/>
      <c r="D235" s="11"/>
      <c r="E235" s="11"/>
      <c r="F235" s="11"/>
      <c r="G235" s="11"/>
      <c r="H235" s="11"/>
      <c r="I235" s="11"/>
      <c r="J235" s="11"/>
    </row>
    <row r="236" spans="1:10" x14ac:dyDescent="0.45">
      <c r="A236" s="1"/>
      <c r="B236" s="2"/>
      <c r="C236" s="11"/>
      <c r="D236" s="11"/>
      <c r="E236" s="11"/>
      <c r="F236" s="11"/>
      <c r="G236" s="11"/>
      <c r="H236" s="11"/>
      <c r="I236" s="11"/>
      <c r="J236" s="11"/>
    </row>
    <row r="237" spans="1:10" x14ac:dyDescent="0.45">
      <c r="A237" s="1"/>
      <c r="B237" s="2"/>
      <c r="C237" s="11"/>
      <c r="D237" s="11"/>
      <c r="E237" s="11"/>
      <c r="F237" s="11"/>
      <c r="G237" s="11"/>
      <c r="H237" s="11"/>
      <c r="I237" s="11"/>
      <c r="J237" s="11"/>
    </row>
    <row r="238" spans="1:10" x14ac:dyDescent="0.45">
      <c r="A238" s="1"/>
      <c r="B238" s="2"/>
      <c r="C238" s="11"/>
      <c r="D238" s="11"/>
      <c r="E238" s="11"/>
      <c r="F238" s="11"/>
      <c r="G238" s="11"/>
      <c r="H238" s="11"/>
      <c r="I238" s="11"/>
      <c r="J238" s="11"/>
    </row>
    <row r="239" spans="1:10" x14ac:dyDescent="0.45">
      <c r="A239" s="1"/>
      <c r="B239" s="2"/>
      <c r="C239" s="11"/>
      <c r="D239" s="11"/>
      <c r="E239" s="11"/>
      <c r="F239" s="11"/>
      <c r="G239" s="11"/>
      <c r="H239" s="11"/>
      <c r="I239" s="11"/>
      <c r="J239" s="11"/>
    </row>
    <row r="240" spans="1:10" x14ac:dyDescent="0.45">
      <c r="A240" s="1"/>
      <c r="B240" s="2"/>
      <c r="C240" s="11"/>
      <c r="D240" s="11"/>
      <c r="E240" s="11"/>
      <c r="F240" s="11"/>
      <c r="G240" s="11"/>
      <c r="H240" s="11"/>
      <c r="I240" s="11"/>
      <c r="J240" s="11"/>
    </row>
    <row r="241" spans="1:10" x14ac:dyDescent="0.45">
      <c r="A241" s="1"/>
      <c r="B241" s="2"/>
      <c r="C241" s="11"/>
      <c r="D241" s="11"/>
      <c r="E241" s="11"/>
      <c r="F241" s="11"/>
      <c r="G241" s="11"/>
      <c r="H241" s="11"/>
      <c r="I241" s="11"/>
      <c r="J241" s="11"/>
    </row>
    <row r="242" spans="1:10" x14ac:dyDescent="0.45">
      <c r="A242" s="1"/>
      <c r="B242" s="2"/>
      <c r="C242" s="11"/>
      <c r="D242" s="11"/>
      <c r="E242" s="11"/>
      <c r="F242" s="11"/>
      <c r="G242" s="11"/>
      <c r="H242" s="11"/>
      <c r="I242" s="11"/>
      <c r="J242" s="11"/>
    </row>
    <row r="243" spans="1:10" x14ac:dyDescent="0.45">
      <c r="A243" s="1"/>
      <c r="B243" s="2"/>
      <c r="C243" s="11"/>
      <c r="D243" s="11"/>
      <c r="E243" s="11"/>
      <c r="F243" s="11"/>
      <c r="G243" s="11"/>
      <c r="H243" s="11"/>
      <c r="I243" s="11"/>
      <c r="J243" s="11"/>
    </row>
    <row r="244" spans="1:10" x14ac:dyDescent="0.45">
      <c r="A244" s="1"/>
      <c r="B244" s="2"/>
      <c r="C244" s="11"/>
      <c r="D244" s="11"/>
      <c r="E244" s="11"/>
      <c r="F244" s="11"/>
      <c r="G244" s="11"/>
      <c r="H244" s="11"/>
      <c r="I244" s="11"/>
      <c r="J244" s="11"/>
    </row>
    <row r="245" spans="1:10" x14ac:dyDescent="0.45">
      <c r="A245" s="1"/>
      <c r="B245" s="2"/>
      <c r="C245" s="11"/>
      <c r="D245" s="11"/>
      <c r="E245" s="11"/>
      <c r="F245" s="11"/>
      <c r="G245" s="11"/>
      <c r="H245" s="11"/>
      <c r="I245" s="11"/>
      <c r="J245" s="11"/>
    </row>
    <row r="246" spans="1:10" x14ac:dyDescent="0.45">
      <c r="A246" s="1"/>
      <c r="B246" s="2"/>
      <c r="C246" s="11"/>
      <c r="D246" s="11"/>
      <c r="E246" s="11"/>
      <c r="F246" s="11"/>
      <c r="G246" s="11"/>
      <c r="H246" s="11"/>
      <c r="I246" s="11"/>
      <c r="J246" s="11"/>
    </row>
    <row r="247" spans="1:10" x14ac:dyDescent="0.45">
      <c r="A247" s="1"/>
      <c r="B247" s="2"/>
      <c r="C247" s="11"/>
      <c r="D247" s="11"/>
      <c r="E247" s="11"/>
      <c r="F247" s="11"/>
      <c r="G247" s="11"/>
      <c r="H247" s="11"/>
      <c r="I247" s="11"/>
      <c r="J247" s="11"/>
    </row>
    <row r="248" spans="1:10" x14ac:dyDescent="0.45">
      <c r="A248" s="1"/>
      <c r="B248" s="2"/>
      <c r="C248" s="11"/>
      <c r="D248" s="11"/>
      <c r="E248" s="11"/>
      <c r="F248" s="11"/>
      <c r="G248" s="11"/>
      <c r="H248" s="11"/>
      <c r="I248" s="11"/>
      <c r="J248" s="11"/>
    </row>
    <row r="249" spans="1:10" x14ac:dyDescent="0.45">
      <c r="A249" s="1"/>
      <c r="B249" s="2"/>
      <c r="C249" s="11"/>
      <c r="D249" s="11"/>
      <c r="E249" s="11"/>
      <c r="F249" s="11"/>
      <c r="G249" s="11"/>
      <c r="H249" s="11"/>
      <c r="I249" s="11"/>
      <c r="J249" s="11"/>
    </row>
    <row r="250" spans="1:10" x14ac:dyDescent="0.45">
      <c r="A250" s="1"/>
      <c r="B250" s="2"/>
      <c r="C250" s="11"/>
      <c r="D250" s="11"/>
      <c r="E250" s="11"/>
      <c r="F250" s="11"/>
      <c r="G250" s="11"/>
      <c r="H250" s="11"/>
      <c r="I250" s="11"/>
      <c r="J250" s="11"/>
    </row>
    <row r="251" spans="1:10" x14ac:dyDescent="0.45">
      <c r="A251" s="1"/>
      <c r="B251" s="2"/>
      <c r="C251" s="11"/>
      <c r="D251" s="11"/>
      <c r="E251" s="11"/>
      <c r="F251" s="11"/>
      <c r="G251" s="11"/>
      <c r="H251" s="11"/>
      <c r="I251" s="11"/>
      <c r="J251" s="11"/>
    </row>
    <row r="252" spans="1:10" x14ac:dyDescent="0.45">
      <c r="A252" s="1"/>
      <c r="B252" s="2"/>
      <c r="C252" s="11"/>
      <c r="D252" s="11"/>
      <c r="E252" s="11"/>
      <c r="F252" s="11"/>
      <c r="G252" s="11"/>
      <c r="H252" s="11"/>
      <c r="I252" s="11"/>
      <c r="J252" s="11"/>
    </row>
    <row r="253" spans="1:10" x14ac:dyDescent="0.45">
      <c r="A253" s="1"/>
      <c r="B253" s="2"/>
      <c r="C253" s="11"/>
      <c r="D253" s="11"/>
      <c r="E253" s="11"/>
      <c r="F253" s="11"/>
      <c r="G253" s="11"/>
      <c r="H253" s="11"/>
      <c r="I253" s="11"/>
      <c r="J253" s="11"/>
    </row>
    <row r="254" spans="1:10" x14ac:dyDescent="0.45">
      <c r="A254" s="1"/>
      <c r="B254" s="2"/>
      <c r="C254" s="11"/>
      <c r="D254" s="11"/>
      <c r="E254" s="11"/>
      <c r="F254" s="11"/>
      <c r="G254" s="11"/>
      <c r="H254" s="11"/>
      <c r="I254" s="11"/>
      <c r="J254" s="11"/>
    </row>
    <row r="255" spans="1:10" x14ac:dyDescent="0.45">
      <c r="A255" s="1"/>
      <c r="B255" s="2"/>
      <c r="C255" s="11"/>
      <c r="D255" s="11"/>
      <c r="E255" s="11"/>
      <c r="F255" s="11"/>
      <c r="G255" s="11"/>
      <c r="H255" s="11"/>
      <c r="I255" s="11"/>
      <c r="J255" s="11"/>
    </row>
    <row r="256" spans="1:10" x14ac:dyDescent="0.45">
      <c r="A256" s="1"/>
      <c r="B256" s="2"/>
      <c r="C256" s="11"/>
      <c r="D256" s="11"/>
      <c r="E256" s="11"/>
      <c r="F256" s="11"/>
      <c r="G256" s="11"/>
      <c r="H256" s="11"/>
      <c r="I256" s="11"/>
      <c r="J256" s="11"/>
    </row>
    <row r="257" spans="1:10" x14ac:dyDescent="0.45">
      <c r="A257" s="1"/>
      <c r="B257" s="2"/>
      <c r="C257" s="11"/>
      <c r="D257" s="11"/>
      <c r="E257" s="11"/>
      <c r="F257" s="11"/>
      <c r="G257" s="11"/>
      <c r="H257" s="11"/>
      <c r="I257" s="11"/>
      <c r="J257" s="11"/>
    </row>
    <row r="258" spans="1:10" x14ac:dyDescent="0.45">
      <c r="A258" s="1"/>
      <c r="B258" s="2"/>
      <c r="C258" s="11"/>
      <c r="D258" s="11"/>
      <c r="E258" s="11"/>
      <c r="F258" s="11"/>
      <c r="G258" s="11"/>
      <c r="H258" s="11"/>
      <c r="I258" s="11"/>
      <c r="J258" s="11"/>
    </row>
    <row r="259" spans="1:10" x14ac:dyDescent="0.45">
      <c r="A259" s="1"/>
      <c r="B259" s="2"/>
      <c r="C259" s="11"/>
      <c r="D259" s="11"/>
      <c r="E259" s="11"/>
      <c r="F259" s="11"/>
      <c r="G259" s="11"/>
      <c r="H259" s="11"/>
      <c r="I259" s="11"/>
      <c r="J259" s="11"/>
    </row>
    <row r="260" spans="1:10" x14ac:dyDescent="0.45">
      <c r="A260" s="1"/>
      <c r="B260" s="2"/>
      <c r="C260" s="11"/>
      <c r="D260" s="11"/>
      <c r="E260" s="11"/>
      <c r="F260" s="11"/>
      <c r="G260" s="11"/>
      <c r="H260" s="11"/>
      <c r="I260" s="11"/>
      <c r="J260" s="11"/>
    </row>
    <row r="261" spans="1:10" x14ac:dyDescent="0.45">
      <c r="A261" s="1"/>
      <c r="B261" s="2"/>
      <c r="C261" s="11"/>
      <c r="D261" s="11"/>
      <c r="E261" s="11"/>
      <c r="F261" s="11"/>
      <c r="G261" s="11"/>
      <c r="H261" s="11"/>
      <c r="I261" s="11"/>
      <c r="J261" s="11"/>
    </row>
    <row r="262" spans="1:10" x14ac:dyDescent="0.45">
      <c r="A262" s="1"/>
      <c r="B262" s="2"/>
      <c r="C262" s="11"/>
      <c r="D262" s="11"/>
      <c r="E262" s="11"/>
      <c r="F262" s="11"/>
      <c r="G262" s="11"/>
      <c r="H262" s="11"/>
      <c r="I262" s="11"/>
      <c r="J262" s="11"/>
    </row>
    <row r="263" spans="1:10" x14ac:dyDescent="0.45">
      <c r="A263" s="1"/>
      <c r="B263" s="2"/>
      <c r="C263" s="11"/>
      <c r="D263" s="11"/>
      <c r="E263" s="11"/>
      <c r="F263" s="11"/>
      <c r="G263" s="11"/>
      <c r="H263" s="11"/>
      <c r="I263" s="11"/>
      <c r="J263" s="11"/>
    </row>
    <row r="264" spans="1:10" x14ac:dyDescent="0.45">
      <c r="A264" s="1"/>
      <c r="B264" s="2"/>
      <c r="C264" s="11"/>
      <c r="D264" s="11"/>
      <c r="E264" s="11"/>
      <c r="F264" s="11"/>
      <c r="G264" s="11"/>
      <c r="H264" s="11"/>
      <c r="I264" s="11"/>
      <c r="J264" s="11"/>
    </row>
    <row r="265" spans="1:10" x14ac:dyDescent="0.45">
      <c r="A265" s="1"/>
      <c r="B265" s="2"/>
      <c r="C265" s="11"/>
      <c r="D265" s="11"/>
      <c r="E265" s="11"/>
      <c r="F265" s="11"/>
      <c r="G265" s="11"/>
      <c r="H265" s="11"/>
      <c r="I265" s="11"/>
      <c r="J265" s="11"/>
    </row>
    <row r="266" spans="1:10" x14ac:dyDescent="0.45">
      <c r="A266" s="1"/>
      <c r="B266" s="2"/>
      <c r="C266" s="11"/>
      <c r="D266" s="11"/>
      <c r="E266" s="11"/>
      <c r="F266" s="11"/>
      <c r="G266" s="11"/>
      <c r="H266" s="11"/>
      <c r="I266" s="11"/>
      <c r="J266" s="11"/>
    </row>
    <row r="267" spans="1:10" x14ac:dyDescent="0.45">
      <c r="A267" s="1"/>
      <c r="B267" s="2"/>
      <c r="C267" s="11"/>
      <c r="D267" s="11"/>
      <c r="E267" s="11"/>
      <c r="F267" s="11"/>
      <c r="G267" s="11"/>
      <c r="H267" s="11"/>
      <c r="I267" s="11"/>
      <c r="J267" s="11"/>
    </row>
    <row r="268" spans="1:10" x14ac:dyDescent="0.45">
      <c r="A268" s="1"/>
      <c r="B268" s="2"/>
      <c r="C268" s="11"/>
      <c r="D268" s="11"/>
      <c r="E268" s="11"/>
      <c r="F268" s="11"/>
      <c r="G268" s="11"/>
      <c r="H268" s="11"/>
      <c r="I268" s="11"/>
      <c r="J268" s="11"/>
    </row>
    <row r="269" spans="1:10" x14ac:dyDescent="0.45">
      <c r="A269" s="1"/>
      <c r="B269" s="2"/>
      <c r="C269" s="11"/>
      <c r="D269" s="11"/>
      <c r="E269" s="11"/>
      <c r="F269" s="11"/>
      <c r="G269" s="11"/>
      <c r="H269" s="11"/>
      <c r="I269" s="11"/>
      <c r="J269" s="11"/>
    </row>
    <row r="270" spans="1:10" x14ac:dyDescent="0.45">
      <c r="A270" s="1"/>
      <c r="B270" s="2"/>
      <c r="C270" s="11"/>
      <c r="D270" s="11"/>
      <c r="E270" s="11"/>
      <c r="F270" s="11"/>
      <c r="G270" s="11"/>
      <c r="H270" s="11"/>
      <c r="I270" s="11"/>
      <c r="J270" s="11"/>
    </row>
    <row r="271" spans="1:10" x14ac:dyDescent="0.45">
      <c r="A271" s="1"/>
      <c r="B271" s="2"/>
      <c r="C271" s="11"/>
      <c r="D271" s="11"/>
      <c r="E271" s="11"/>
      <c r="F271" s="11"/>
      <c r="G271" s="11"/>
      <c r="H271" s="11"/>
      <c r="I271" s="11"/>
      <c r="J271" s="11"/>
    </row>
    <row r="272" spans="1:10" x14ac:dyDescent="0.45">
      <c r="A272" s="1"/>
      <c r="B272" s="2"/>
      <c r="C272" s="11"/>
      <c r="D272" s="11"/>
      <c r="E272" s="11"/>
      <c r="F272" s="11"/>
      <c r="G272" s="11"/>
      <c r="H272" s="11"/>
      <c r="I272" s="11"/>
      <c r="J272" s="11"/>
    </row>
    <row r="273" spans="1:10" x14ac:dyDescent="0.45">
      <c r="A273" s="1"/>
      <c r="B273" s="2"/>
      <c r="C273" s="11"/>
      <c r="D273" s="11"/>
      <c r="E273" s="11"/>
      <c r="F273" s="11"/>
      <c r="G273" s="11"/>
      <c r="H273" s="11"/>
      <c r="I273" s="11"/>
      <c r="J273" s="11"/>
    </row>
    <row r="274" spans="1:10" x14ac:dyDescent="0.45">
      <c r="A274" s="1"/>
      <c r="B274" s="2"/>
      <c r="C274" s="11"/>
      <c r="D274" s="11"/>
      <c r="E274" s="11"/>
      <c r="F274" s="11"/>
      <c r="G274" s="11"/>
      <c r="H274" s="11"/>
      <c r="I274" s="11"/>
      <c r="J274" s="11"/>
    </row>
    <row r="275" spans="1:10" x14ac:dyDescent="0.45">
      <c r="A275" s="1"/>
      <c r="B275" s="2"/>
      <c r="C275" s="11"/>
      <c r="D275" s="11"/>
      <c r="E275" s="11"/>
      <c r="F275" s="11"/>
      <c r="G275" s="11"/>
      <c r="H275" s="11"/>
      <c r="I275" s="11"/>
      <c r="J275" s="11"/>
    </row>
    <row r="276" spans="1:10" x14ac:dyDescent="0.45">
      <c r="A276" s="1"/>
      <c r="B276" s="2"/>
      <c r="C276" s="11"/>
      <c r="D276" s="11"/>
      <c r="E276" s="11"/>
      <c r="F276" s="11"/>
      <c r="G276" s="11"/>
      <c r="H276" s="11"/>
      <c r="I276" s="11"/>
      <c r="J276" s="11"/>
    </row>
    <row r="277" spans="1:10" x14ac:dyDescent="0.45">
      <c r="A277" s="1"/>
      <c r="B277" s="2"/>
      <c r="C277" s="11"/>
      <c r="D277" s="11"/>
      <c r="E277" s="11"/>
      <c r="F277" s="11"/>
      <c r="G277" s="11"/>
      <c r="H277" s="11"/>
      <c r="I277" s="11"/>
      <c r="J277" s="11"/>
    </row>
    <row r="278" spans="1:10" x14ac:dyDescent="0.45">
      <c r="A278" s="1"/>
      <c r="B278" s="2"/>
      <c r="C278" s="11"/>
      <c r="D278" s="11"/>
      <c r="E278" s="11"/>
      <c r="F278" s="11"/>
      <c r="G278" s="11"/>
      <c r="H278" s="11"/>
      <c r="I278" s="11"/>
      <c r="J278" s="11"/>
    </row>
    <row r="279" spans="1:10" x14ac:dyDescent="0.45">
      <c r="A279" s="1"/>
      <c r="B279" s="2"/>
      <c r="C279" s="11"/>
      <c r="D279" s="11"/>
      <c r="E279" s="11"/>
      <c r="F279" s="11"/>
      <c r="G279" s="11"/>
      <c r="H279" s="11"/>
      <c r="I279" s="11"/>
      <c r="J279" s="11"/>
    </row>
    <row r="280" spans="1:10" x14ac:dyDescent="0.45">
      <c r="A280" s="1"/>
      <c r="B280" s="2"/>
      <c r="C280" s="11"/>
      <c r="D280" s="11"/>
      <c r="E280" s="11"/>
      <c r="F280" s="11"/>
      <c r="G280" s="11"/>
      <c r="H280" s="11"/>
      <c r="I280" s="11"/>
      <c r="J280" s="11"/>
    </row>
    <row r="281" spans="1:10" x14ac:dyDescent="0.45">
      <c r="A281" s="1"/>
      <c r="B281" s="2"/>
      <c r="C281" s="11"/>
      <c r="D281" s="11"/>
      <c r="E281" s="11"/>
      <c r="F281" s="11"/>
      <c r="G281" s="11"/>
      <c r="H281" s="11"/>
      <c r="I281" s="11"/>
      <c r="J281" s="11"/>
    </row>
    <row r="282" spans="1:10" x14ac:dyDescent="0.45">
      <c r="A282" s="1"/>
      <c r="B282" s="2"/>
      <c r="C282" s="11"/>
      <c r="D282" s="11"/>
      <c r="E282" s="11"/>
      <c r="F282" s="11"/>
      <c r="G282" s="11"/>
      <c r="H282" s="11"/>
      <c r="I282" s="11"/>
      <c r="J282" s="11"/>
    </row>
    <row r="283" spans="1:10" x14ac:dyDescent="0.45">
      <c r="A283" s="1"/>
      <c r="B283" s="2"/>
      <c r="C283" s="11"/>
      <c r="D283" s="11"/>
      <c r="E283" s="11"/>
      <c r="F283" s="11"/>
      <c r="G283" s="11"/>
      <c r="H283" s="11"/>
      <c r="I283" s="11"/>
      <c r="J283" s="11"/>
    </row>
    <row r="284" spans="1:10" x14ac:dyDescent="0.45">
      <c r="A284" s="1"/>
      <c r="B284" s="2"/>
      <c r="C284" s="11"/>
      <c r="D284" s="11"/>
      <c r="E284" s="11"/>
      <c r="F284" s="11"/>
      <c r="G284" s="11"/>
      <c r="H284" s="11"/>
      <c r="I284" s="11"/>
      <c r="J284" s="11"/>
    </row>
    <row r="285" spans="1:10" x14ac:dyDescent="0.45">
      <c r="A285" s="1"/>
      <c r="B285" s="2"/>
      <c r="C285" s="11"/>
      <c r="D285" s="11"/>
      <c r="E285" s="11"/>
      <c r="F285" s="11"/>
      <c r="G285" s="11"/>
      <c r="H285" s="11"/>
      <c r="I285" s="11"/>
      <c r="J285" s="11"/>
    </row>
    <row r="286" spans="1:10" x14ac:dyDescent="0.45">
      <c r="A286" s="1"/>
      <c r="B286" s="2"/>
      <c r="C286" s="11"/>
      <c r="D286" s="11"/>
      <c r="E286" s="11"/>
      <c r="F286" s="11"/>
      <c r="G286" s="11"/>
      <c r="H286" s="11"/>
      <c r="I286" s="11"/>
      <c r="J286" s="11"/>
    </row>
    <row r="287" spans="1:10" x14ac:dyDescent="0.45">
      <c r="A287" s="1"/>
      <c r="B287" s="2"/>
      <c r="C287" s="11"/>
      <c r="D287" s="11"/>
      <c r="E287" s="11"/>
      <c r="F287" s="11"/>
      <c r="G287" s="11"/>
      <c r="H287" s="11"/>
      <c r="I287" s="11"/>
      <c r="J287" s="11"/>
    </row>
    <row r="288" spans="1:10" x14ac:dyDescent="0.45">
      <c r="A288" s="1"/>
      <c r="B288" s="2"/>
      <c r="C288" s="11"/>
      <c r="D288" s="11"/>
      <c r="E288" s="11"/>
      <c r="F288" s="11"/>
      <c r="G288" s="11"/>
      <c r="H288" s="11"/>
      <c r="I288" s="11"/>
      <c r="J288" s="11"/>
    </row>
    <row r="289" spans="1:10" x14ac:dyDescent="0.45">
      <c r="A289" s="1"/>
      <c r="B289" s="2"/>
      <c r="C289" s="11"/>
      <c r="D289" s="11"/>
      <c r="E289" s="11"/>
      <c r="F289" s="11"/>
      <c r="G289" s="11"/>
      <c r="H289" s="11"/>
      <c r="I289" s="11"/>
      <c r="J289" s="11"/>
    </row>
    <row r="290" spans="1:10" x14ac:dyDescent="0.45">
      <c r="A290" s="1"/>
      <c r="B290" s="2"/>
      <c r="C290" s="11"/>
      <c r="D290" s="11"/>
      <c r="E290" s="11"/>
      <c r="F290" s="11"/>
      <c r="G290" s="11"/>
      <c r="H290" s="11"/>
      <c r="I290" s="11"/>
      <c r="J290" s="11"/>
    </row>
    <row r="291" spans="1:10" x14ac:dyDescent="0.45">
      <c r="A291" s="1"/>
      <c r="B291" s="2"/>
      <c r="C291" s="11"/>
      <c r="D291" s="11"/>
      <c r="E291" s="11"/>
      <c r="F291" s="11"/>
      <c r="G291" s="11"/>
      <c r="H291" s="11"/>
      <c r="I291" s="11"/>
      <c r="J291" s="11"/>
    </row>
    <row r="292" spans="1:10" x14ac:dyDescent="0.45">
      <c r="A292" s="1"/>
      <c r="B292" s="2"/>
      <c r="C292" s="11"/>
      <c r="D292" s="11"/>
      <c r="E292" s="11"/>
      <c r="F292" s="11"/>
      <c r="G292" s="11"/>
      <c r="H292" s="11"/>
      <c r="I292" s="11"/>
      <c r="J292" s="11"/>
    </row>
    <row r="293" spans="1:10" x14ac:dyDescent="0.45">
      <c r="A293" s="1"/>
      <c r="B293" s="2"/>
      <c r="C293" s="11"/>
      <c r="D293" s="11"/>
      <c r="E293" s="11"/>
      <c r="F293" s="11"/>
      <c r="G293" s="11"/>
      <c r="H293" s="11"/>
      <c r="I293" s="11"/>
      <c r="J293" s="11"/>
    </row>
    <row r="294" spans="1:10" x14ac:dyDescent="0.45">
      <c r="A294" s="1"/>
      <c r="B294" s="2"/>
      <c r="C294" s="11"/>
      <c r="D294" s="11"/>
      <c r="E294" s="11"/>
      <c r="F294" s="11"/>
      <c r="G294" s="11"/>
      <c r="H294" s="11"/>
      <c r="I294" s="11"/>
      <c r="J294" s="11"/>
    </row>
    <row r="295" spans="1:10" x14ac:dyDescent="0.45">
      <c r="A295" s="1"/>
      <c r="B295" s="2"/>
      <c r="C295" s="11"/>
      <c r="D295" s="11"/>
      <c r="E295" s="11"/>
      <c r="F295" s="11"/>
      <c r="G295" s="11"/>
      <c r="H295" s="11"/>
      <c r="I295" s="11"/>
      <c r="J295" s="11"/>
    </row>
    <row r="296" spans="1:10" x14ac:dyDescent="0.45">
      <c r="A296" s="1"/>
      <c r="B296" s="2"/>
      <c r="C296" s="11"/>
      <c r="D296" s="11"/>
      <c r="E296" s="11"/>
      <c r="F296" s="11"/>
      <c r="G296" s="11"/>
      <c r="H296" s="11"/>
      <c r="I296" s="11"/>
      <c r="J296" s="11"/>
    </row>
    <row r="297" spans="1:10" x14ac:dyDescent="0.45">
      <c r="A297" s="1"/>
      <c r="B297" s="2"/>
      <c r="C297" s="11"/>
      <c r="D297" s="11"/>
      <c r="E297" s="11"/>
      <c r="F297" s="11"/>
      <c r="G297" s="11"/>
      <c r="H297" s="11"/>
      <c r="I297" s="11"/>
      <c r="J297" s="11"/>
    </row>
    <row r="298" spans="1:10" x14ac:dyDescent="0.45">
      <c r="A298" s="1"/>
      <c r="B298" s="2"/>
      <c r="C298" s="11"/>
      <c r="D298" s="11"/>
      <c r="E298" s="11"/>
      <c r="F298" s="11"/>
      <c r="G298" s="11"/>
      <c r="H298" s="11"/>
      <c r="I298" s="11"/>
      <c r="J298" s="11"/>
    </row>
    <row r="299" spans="1:10" x14ac:dyDescent="0.45">
      <c r="A299" s="1"/>
      <c r="B299" s="2"/>
      <c r="C299" s="11"/>
      <c r="D299" s="11"/>
      <c r="E299" s="11"/>
      <c r="F299" s="11"/>
      <c r="G299" s="11"/>
      <c r="H299" s="11"/>
      <c r="I299" s="11"/>
      <c r="J299" s="11"/>
    </row>
    <row r="300" spans="1:10" x14ac:dyDescent="0.45">
      <c r="A300" s="1"/>
      <c r="B300" s="2"/>
      <c r="C300" s="11"/>
      <c r="D300" s="11"/>
      <c r="E300" s="11"/>
      <c r="F300" s="11"/>
      <c r="G300" s="11"/>
      <c r="H300" s="11"/>
      <c r="I300" s="11"/>
      <c r="J300" s="11"/>
    </row>
    <row r="301" spans="1:10" x14ac:dyDescent="0.45">
      <c r="A301" s="1"/>
      <c r="B301" s="2"/>
      <c r="C301" s="11"/>
      <c r="D301" s="11"/>
      <c r="E301" s="11"/>
      <c r="F301" s="11"/>
      <c r="G301" s="11"/>
      <c r="H301" s="11"/>
      <c r="I301" s="11"/>
      <c r="J301" s="11"/>
    </row>
    <row r="302" spans="1:10" x14ac:dyDescent="0.45">
      <c r="A302" s="1"/>
      <c r="B302" s="2"/>
      <c r="C302" s="11"/>
      <c r="D302" s="11"/>
      <c r="E302" s="11"/>
      <c r="F302" s="11"/>
      <c r="G302" s="11"/>
      <c r="H302" s="11"/>
      <c r="I302" s="11"/>
      <c r="J302" s="11"/>
    </row>
    <row r="303" spans="1:10" x14ac:dyDescent="0.45">
      <c r="A303" s="1"/>
      <c r="B303" s="2"/>
      <c r="C303" s="11"/>
      <c r="D303" s="11"/>
      <c r="E303" s="11"/>
      <c r="F303" s="11"/>
      <c r="G303" s="11"/>
      <c r="H303" s="11"/>
      <c r="I303" s="11"/>
      <c r="J303" s="11"/>
    </row>
    <row r="304" spans="1:10" x14ac:dyDescent="0.45">
      <c r="A304" s="1"/>
      <c r="B304" s="2"/>
      <c r="C304" s="11"/>
      <c r="D304" s="11"/>
      <c r="E304" s="11"/>
      <c r="F304" s="11"/>
      <c r="G304" s="11"/>
      <c r="H304" s="11"/>
      <c r="I304" s="11"/>
      <c r="J304" s="11"/>
    </row>
    <row r="305" spans="1:10" x14ac:dyDescent="0.45">
      <c r="A305" s="1"/>
      <c r="B305" s="2"/>
      <c r="C305" s="11"/>
      <c r="D305" s="11"/>
      <c r="E305" s="11"/>
      <c r="F305" s="11"/>
      <c r="G305" s="11"/>
      <c r="H305" s="11"/>
      <c r="I305" s="11"/>
      <c r="J305" s="11"/>
    </row>
    <row r="306" spans="1:10" x14ac:dyDescent="0.45">
      <c r="A306" s="1"/>
      <c r="B306" s="2"/>
      <c r="C306" s="11"/>
      <c r="D306" s="11"/>
      <c r="E306" s="11"/>
      <c r="F306" s="11"/>
      <c r="G306" s="11"/>
      <c r="H306" s="11"/>
      <c r="I306" s="11"/>
      <c r="J306" s="11"/>
    </row>
    <row r="307" spans="1:10" x14ac:dyDescent="0.45">
      <c r="A307" s="1"/>
      <c r="B307" s="2"/>
      <c r="C307" s="11"/>
      <c r="D307" s="11"/>
      <c r="E307" s="11"/>
      <c r="F307" s="11"/>
      <c r="G307" s="11"/>
      <c r="H307" s="11"/>
      <c r="I307" s="11"/>
      <c r="J307" s="11"/>
    </row>
    <row r="308" spans="1:10" x14ac:dyDescent="0.45">
      <c r="A308" s="1"/>
      <c r="B308" s="2"/>
      <c r="C308" s="11"/>
      <c r="D308" s="11"/>
      <c r="E308" s="11"/>
      <c r="F308" s="11"/>
      <c r="G308" s="11"/>
      <c r="H308" s="11"/>
      <c r="I308" s="11"/>
      <c r="J308" s="11"/>
    </row>
    <row r="309" spans="1:10" x14ac:dyDescent="0.45">
      <c r="A309" s="1"/>
      <c r="B309" s="2"/>
      <c r="C309" s="11"/>
      <c r="D309" s="11"/>
      <c r="E309" s="11"/>
      <c r="F309" s="11"/>
      <c r="G309" s="11"/>
      <c r="H309" s="11"/>
      <c r="I309" s="11"/>
      <c r="J309" s="11"/>
    </row>
    <row r="310" spans="1:10" x14ac:dyDescent="0.45">
      <c r="A310" s="1"/>
      <c r="B310" s="2"/>
      <c r="C310" s="11"/>
      <c r="D310" s="11"/>
      <c r="E310" s="11"/>
      <c r="F310" s="11"/>
      <c r="G310" s="11"/>
      <c r="H310" s="11"/>
      <c r="I310" s="11"/>
      <c r="J310" s="11"/>
    </row>
    <row r="311" spans="1:10" x14ac:dyDescent="0.45">
      <c r="A311" s="1"/>
      <c r="B311" s="2"/>
      <c r="C311" s="11"/>
      <c r="D311" s="11"/>
      <c r="E311" s="11"/>
      <c r="F311" s="11"/>
      <c r="G311" s="11"/>
      <c r="H311" s="11"/>
      <c r="I311" s="11"/>
      <c r="J311" s="11"/>
    </row>
    <row r="312" spans="1:10" x14ac:dyDescent="0.45">
      <c r="A312" s="1"/>
      <c r="B312" s="2"/>
      <c r="C312" s="11"/>
      <c r="D312" s="11"/>
      <c r="E312" s="11"/>
      <c r="F312" s="11"/>
      <c r="G312" s="11"/>
      <c r="H312" s="11"/>
      <c r="I312" s="11"/>
      <c r="J312" s="11"/>
    </row>
    <row r="313" spans="1:10" x14ac:dyDescent="0.45">
      <c r="A313" s="1"/>
      <c r="B313" s="2"/>
      <c r="C313" s="11"/>
      <c r="D313" s="11"/>
      <c r="E313" s="11"/>
      <c r="F313" s="11"/>
      <c r="G313" s="11"/>
      <c r="H313" s="11"/>
      <c r="I313" s="11"/>
      <c r="J313" s="11"/>
    </row>
    <row r="314" spans="1:10" x14ac:dyDescent="0.45">
      <c r="A314" s="1"/>
      <c r="B314" s="2"/>
      <c r="C314" s="11"/>
      <c r="D314" s="11"/>
      <c r="E314" s="11"/>
      <c r="F314" s="11"/>
      <c r="G314" s="11"/>
      <c r="H314" s="11"/>
      <c r="I314" s="11"/>
      <c r="J314" s="11"/>
    </row>
    <row r="315" spans="1:10" x14ac:dyDescent="0.45">
      <c r="A315" s="1"/>
      <c r="B315" s="2"/>
      <c r="C315" s="11"/>
      <c r="D315" s="11"/>
      <c r="E315" s="11"/>
      <c r="F315" s="11"/>
      <c r="G315" s="11"/>
      <c r="H315" s="11"/>
      <c r="I315" s="11"/>
      <c r="J315" s="11"/>
    </row>
    <row r="316" spans="1:10" x14ac:dyDescent="0.45">
      <c r="A316" s="1"/>
      <c r="B316" s="2"/>
      <c r="C316" s="11"/>
      <c r="D316" s="11"/>
      <c r="E316" s="11"/>
      <c r="F316" s="11"/>
      <c r="G316" s="11"/>
      <c r="H316" s="11"/>
      <c r="I316" s="11"/>
      <c r="J316" s="11"/>
    </row>
    <row r="317" spans="1:10" x14ac:dyDescent="0.45">
      <c r="A317" s="1"/>
      <c r="B317" s="2"/>
      <c r="C317" s="11"/>
      <c r="D317" s="11"/>
      <c r="E317" s="11"/>
      <c r="F317" s="11"/>
      <c r="G317" s="11"/>
      <c r="H317" s="11"/>
      <c r="I317" s="11"/>
      <c r="J317" s="11"/>
    </row>
    <row r="318" spans="1:10" x14ac:dyDescent="0.45">
      <c r="A318" s="1"/>
      <c r="B318" s="2"/>
      <c r="C318" s="11"/>
      <c r="D318" s="11"/>
      <c r="E318" s="11"/>
      <c r="F318" s="11"/>
      <c r="G318" s="11"/>
      <c r="H318" s="11"/>
      <c r="I318" s="11"/>
      <c r="J318" s="11"/>
    </row>
    <row r="319" spans="1:10" x14ac:dyDescent="0.45">
      <c r="A319" s="1"/>
      <c r="B319" s="2"/>
      <c r="C319" s="11"/>
      <c r="D319" s="11"/>
      <c r="E319" s="11"/>
      <c r="F319" s="11"/>
      <c r="G319" s="11"/>
      <c r="H319" s="11"/>
      <c r="I319" s="11"/>
      <c r="J319" s="11"/>
    </row>
    <row r="320" spans="1:10" x14ac:dyDescent="0.45">
      <c r="A320" s="1"/>
      <c r="B320" s="2"/>
      <c r="C320" s="11"/>
      <c r="D320" s="11"/>
      <c r="E320" s="11"/>
      <c r="F320" s="11"/>
      <c r="G320" s="11"/>
      <c r="H320" s="11"/>
      <c r="I320" s="11"/>
      <c r="J320" s="11"/>
    </row>
    <row r="321" spans="1:10" x14ac:dyDescent="0.45">
      <c r="A321" s="1"/>
      <c r="B321" s="2"/>
      <c r="C321" s="11"/>
      <c r="D321" s="11"/>
      <c r="E321" s="11"/>
      <c r="F321" s="11"/>
      <c r="G321" s="11"/>
      <c r="H321" s="11"/>
      <c r="I321" s="11"/>
      <c r="J321" s="11"/>
    </row>
    <row r="322" spans="1:10" x14ac:dyDescent="0.45">
      <c r="A322" s="1"/>
      <c r="B322" s="2"/>
      <c r="C322" s="11"/>
      <c r="D322" s="11"/>
      <c r="E322" s="11"/>
      <c r="F322" s="11"/>
      <c r="G322" s="11"/>
      <c r="H322" s="11"/>
      <c r="I322" s="11"/>
      <c r="J322" s="11"/>
    </row>
    <row r="323" spans="1:10" x14ac:dyDescent="0.45">
      <c r="A323" s="1"/>
      <c r="B323" s="2"/>
      <c r="C323" s="11"/>
      <c r="D323" s="11"/>
      <c r="E323" s="11"/>
      <c r="F323" s="11"/>
      <c r="G323" s="11"/>
      <c r="H323" s="11"/>
      <c r="I323" s="11"/>
      <c r="J323" s="11"/>
    </row>
    <row r="324" spans="1:10" x14ac:dyDescent="0.45">
      <c r="A324" s="1"/>
      <c r="B324" s="2"/>
      <c r="C324" s="11"/>
      <c r="D324" s="11"/>
      <c r="E324" s="11"/>
      <c r="F324" s="11"/>
      <c r="G324" s="11"/>
      <c r="H324" s="11"/>
      <c r="I324" s="11"/>
      <c r="J324" s="11"/>
    </row>
    <row r="325" spans="1:10" x14ac:dyDescent="0.45">
      <c r="A325" s="1"/>
      <c r="B325" s="2"/>
      <c r="C325" s="11"/>
      <c r="D325" s="11"/>
      <c r="E325" s="11"/>
      <c r="F325" s="11"/>
      <c r="G325" s="11"/>
      <c r="H325" s="11"/>
      <c r="I325" s="11"/>
      <c r="J325" s="11"/>
    </row>
    <row r="326" spans="1:10" x14ac:dyDescent="0.45">
      <c r="A326" s="1"/>
      <c r="B326" s="2"/>
      <c r="C326" s="11"/>
      <c r="D326" s="11"/>
      <c r="E326" s="11"/>
      <c r="F326" s="11"/>
      <c r="G326" s="11"/>
      <c r="H326" s="11"/>
      <c r="I326" s="11"/>
      <c r="J326" s="11"/>
    </row>
    <row r="327" spans="1:10" x14ac:dyDescent="0.45">
      <c r="A327" s="1"/>
      <c r="B327" s="2"/>
      <c r="C327" s="11"/>
      <c r="D327" s="11"/>
      <c r="E327" s="11"/>
      <c r="F327" s="11"/>
      <c r="G327" s="11"/>
      <c r="H327" s="11"/>
      <c r="I327" s="11"/>
      <c r="J327" s="11"/>
    </row>
    <row r="328" spans="1:10" x14ac:dyDescent="0.45">
      <c r="A328" s="1"/>
      <c r="B328" s="2"/>
      <c r="C328" s="11"/>
      <c r="D328" s="11"/>
      <c r="E328" s="11"/>
      <c r="F328" s="11"/>
      <c r="G328" s="11"/>
      <c r="H328" s="11"/>
      <c r="I328" s="11"/>
      <c r="J328" s="11"/>
    </row>
    <row r="329" spans="1:10" x14ac:dyDescent="0.45">
      <c r="A329" s="1"/>
      <c r="B329" s="2"/>
      <c r="C329" s="11"/>
      <c r="D329" s="11"/>
      <c r="E329" s="11"/>
      <c r="F329" s="11"/>
      <c r="G329" s="11"/>
      <c r="H329" s="11"/>
      <c r="I329" s="11"/>
      <c r="J329" s="11"/>
    </row>
    <row r="330" spans="1:10" x14ac:dyDescent="0.45">
      <c r="A330" s="1"/>
      <c r="B330" s="2"/>
      <c r="C330" s="11"/>
      <c r="D330" s="11"/>
      <c r="E330" s="11"/>
      <c r="F330" s="11"/>
      <c r="G330" s="11"/>
      <c r="H330" s="11"/>
      <c r="I330" s="11"/>
      <c r="J330" s="11"/>
    </row>
    <row r="331" spans="1:10" x14ac:dyDescent="0.45">
      <c r="A331" s="1"/>
      <c r="B331" s="2"/>
      <c r="C331" s="11"/>
      <c r="D331" s="11"/>
      <c r="E331" s="11"/>
      <c r="F331" s="11"/>
      <c r="G331" s="11"/>
      <c r="H331" s="11"/>
      <c r="I331" s="11"/>
      <c r="J331" s="11"/>
    </row>
    <row r="332" spans="1:10" x14ac:dyDescent="0.45">
      <c r="A332" s="1"/>
      <c r="B332" s="2"/>
      <c r="C332" s="11"/>
      <c r="D332" s="11"/>
      <c r="E332" s="11"/>
      <c r="F332" s="11"/>
      <c r="G332" s="11"/>
      <c r="H332" s="11"/>
      <c r="I332" s="11"/>
      <c r="J332" s="11"/>
    </row>
    <row r="333" spans="1:10" x14ac:dyDescent="0.45">
      <c r="A333" s="1"/>
      <c r="B333" s="2"/>
      <c r="C333" s="11"/>
      <c r="D333" s="11"/>
      <c r="E333" s="11"/>
      <c r="F333" s="11"/>
      <c r="G333" s="11"/>
      <c r="H333" s="11"/>
      <c r="I333" s="11"/>
      <c r="J333" s="11"/>
    </row>
    <row r="334" spans="1:10" x14ac:dyDescent="0.45">
      <c r="A334" s="1"/>
      <c r="B334" s="2"/>
      <c r="C334" s="11"/>
      <c r="D334" s="11"/>
      <c r="E334" s="11"/>
      <c r="F334" s="11"/>
      <c r="G334" s="11"/>
      <c r="H334" s="11"/>
      <c r="I334" s="11"/>
      <c r="J334" s="11"/>
    </row>
    <row r="335" spans="1:10" x14ac:dyDescent="0.45">
      <c r="A335" s="1"/>
      <c r="B335" s="2"/>
      <c r="C335" s="11"/>
      <c r="D335" s="11"/>
      <c r="E335" s="11"/>
      <c r="F335" s="11"/>
      <c r="G335" s="11"/>
      <c r="H335" s="11"/>
      <c r="I335" s="11"/>
      <c r="J335" s="11"/>
    </row>
    <row r="336" spans="1:10" x14ac:dyDescent="0.45">
      <c r="A336" s="1"/>
      <c r="B336" s="2"/>
      <c r="C336" s="11"/>
      <c r="D336" s="11"/>
      <c r="E336" s="11"/>
      <c r="F336" s="11"/>
      <c r="G336" s="11"/>
      <c r="H336" s="11"/>
      <c r="I336" s="11"/>
      <c r="J336" s="11"/>
    </row>
    <row r="337" spans="1:10" x14ac:dyDescent="0.45">
      <c r="A337" s="1"/>
      <c r="B337" s="2"/>
      <c r="C337" s="11"/>
      <c r="D337" s="11"/>
      <c r="E337" s="11"/>
      <c r="F337" s="11"/>
      <c r="G337" s="11"/>
      <c r="H337" s="11"/>
      <c r="I337" s="11"/>
      <c r="J337" s="11"/>
    </row>
    <row r="338" spans="1:10" x14ac:dyDescent="0.45">
      <c r="A338" s="1"/>
      <c r="B338" s="2"/>
      <c r="C338" s="11"/>
      <c r="D338" s="11"/>
      <c r="E338" s="11"/>
      <c r="F338" s="11"/>
      <c r="G338" s="11"/>
      <c r="H338" s="11"/>
      <c r="I338" s="11"/>
      <c r="J338" s="11"/>
    </row>
    <row r="339" spans="1:10" x14ac:dyDescent="0.45">
      <c r="A339" s="1"/>
      <c r="B339" s="2"/>
      <c r="C339" s="11"/>
      <c r="D339" s="11"/>
      <c r="E339" s="11"/>
      <c r="F339" s="11"/>
      <c r="G339" s="11"/>
      <c r="H339" s="11"/>
      <c r="I339" s="11"/>
      <c r="J339" s="11"/>
    </row>
    <row r="340" spans="1:10" x14ac:dyDescent="0.45">
      <c r="A340" s="1"/>
      <c r="B340" s="2"/>
      <c r="C340" s="11"/>
      <c r="D340" s="11"/>
      <c r="E340" s="11"/>
      <c r="F340" s="11"/>
      <c r="G340" s="11"/>
      <c r="H340" s="11"/>
      <c r="I340" s="11"/>
      <c r="J340" s="11"/>
    </row>
    <row r="341" spans="1:10" x14ac:dyDescent="0.45">
      <c r="A341" s="1"/>
      <c r="B341" s="2"/>
      <c r="C341" s="11"/>
      <c r="D341" s="11"/>
      <c r="E341" s="11"/>
      <c r="F341" s="11"/>
      <c r="G341" s="11"/>
      <c r="H341" s="11"/>
      <c r="I341" s="11"/>
      <c r="J341" s="11"/>
    </row>
    <row r="342" spans="1:10" x14ac:dyDescent="0.45">
      <c r="A342" s="1"/>
      <c r="B342" s="2"/>
      <c r="C342" s="11"/>
      <c r="D342" s="11"/>
      <c r="E342" s="11"/>
      <c r="F342" s="11"/>
      <c r="G342" s="11"/>
      <c r="H342" s="11"/>
      <c r="I342" s="11"/>
      <c r="J342" s="11"/>
    </row>
    <row r="343" spans="1:10" x14ac:dyDescent="0.45">
      <c r="A343" s="1"/>
      <c r="B343" s="2"/>
      <c r="C343" s="11"/>
      <c r="D343" s="11"/>
      <c r="E343" s="11"/>
      <c r="F343" s="11"/>
      <c r="G343" s="11"/>
      <c r="H343" s="11"/>
      <c r="I343" s="11"/>
      <c r="J343" s="11"/>
    </row>
    <row r="344" spans="1:10" x14ac:dyDescent="0.45">
      <c r="A344" s="1"/>
      <c r="B344" s="2"/>
      <c r="C344" s="11"/>
      <c r="D344" s="11"/>
      <c r="E344" s="11"/>
      <c r="F344" s="11"/>
      <c r="G344" s="11"/>
      <c r="H344" s="11"/>
      <c r="I344" s="11"/>
      <c r="J344" s="11"/>
    </row>
    <row r="345" spans="1:10" x14ac:dyDescent="0.45">
      <c r="A345" s="1"/>
      <c r="B345" s="2"/>
      <c r="C345" s="11"/>
      <c r="D345" s="11"/>
      <c r="E345" s="11"/>
      <c r="F345" s="11"/>
      <c r="G345" s="11"/>
      <c r="H345" s="11"/>
      <c r="I345" s="11"/>
      <c r="J345" s="11"/>
    </row>
    <row r="346" spans="1:10" x14ac:dyDescent="0.45">
      <c r="A346" s="1"/>
      <c r="B346" s="2"/>
      <c r="C346" s="11"/>
      <c r="D346" s="11"/>
      <c r="E346" s="11"/>
      <c r="F346" s="11"/>
      <c r="G346" s="11"/>
      <c r="H346" s="11"/>
      <c r="I346" s="11"/>
      <c r="J346" s="11"/>
    </row>
    <row r="347" spans="1:10" x14ac:dyDescent="0.45">
      <c r="A347" s="1"/>
      <c r="B347" s="2"/>
      <c r="C347" s="11"/>
      <c r="D347" s="11"/>
      <c r="E347" s="11"/>
      <c r="F347" s="11"/>
      <c r="G347" s="11"/>
      <c r="H347" s="11"/>
      <c r="I347" s="11"/>
      <c r="J347" s="11"/>
    </row>
    <row r="348" spans="1:10" x14ac:dyDescent="0.45">
      <c r="A348" s="1"/>
      <c r="B348" s="2"/>
      <c r="C348" s="11"/>
      <c r="D348" s="11"/>
      <c r="E348" s="11"/>
      <c r="F348" s="11"/>
      <c r="G348" s="11"/>
      <c r="H348" s="11"/>
      <c r="I348" s="11"/>
      <c r="J348" s="11"/>
    </row>
    <row r="349" spans="1:10" x14ac:dyDescent="0.45">
      <c r="A349" s="1"/>
      <c r="B349" s="2"/>
      <c r="C349" s="11"/>
      <c r="D349" s="11"/>
      <c r="E349" s="11"/>
      <c r="F349" s="11"/>
      <c r="G349" s="11"/>
      <c r="H349" s="11"/>
      <c r="I349" s="11"/>
      <c r="J349" s="11"/>
    </row>
    <row r="350" spans="1:10" x14ac:dyDescent="0.45">
      <c r="A350" s="1"/>
      <c r="B350" s="2"/>
      <c r="C350" s="11"/>
      <c r="D350" s="11"/>
      <c r="E350" s="11"/>
      <c r="F350" s="11"/>
      <c r="G350" s="11"/>
      <c r="H350" s="11"/>
      <c r="I350" s="11"/>
      <c r="J350" s="11"/>
    </row>
    <row r="351" spans="1:10" x14ac:dyDescent="0.45">
      <c r="A351" s="1"/>
      <c r="B351" s="2"/>
      <c r="C351" s="11"/>
      <c r="D351" s="11"/>
      <c r="E351" s="11"/>
      <c r="F351" s="11"/>
      <c r="G351" s="11"/>
      <c r="H351" s="11"/>
      <c r="I351" s="11"/>
      <c r="J351" s="11"/>
    </row>
    <row r="352" spans="1:10" x14ac:dyDescent="0.45">
      <c r="A352" s="1"/>
      <c r="B352" s="2"/>
      <c r="C352" s="11"/>
      <c r="D352" s="11"/>
      <c r="E352" s="11"/>
      <c r="F352" s="11"/>
      <c r="G352" s="11"/>
      <c r="H352" s="11"/>
      <c r="I352" s="11"/>
      <c r="J352" s="11"/>
    </row>
    <row r="353" spans="1:10" x14ac:dyDescent="0.45">
      <c r="A353" s="1"/>
      <c r="B353" s="2"/>
      <c r="C353" s="11"/>
      <c r="D353" s="11"/>
      <c r="E353" s="11"/>
      <c r="F353" s="11"/>
      <c r="G353" s="11"/>
      <c r="H353" s="11"/>
      <c r="I353" s="11"/>
      <c r="J353" s="11"/>
    </row>
    <row r="354" spans="1:10" x14ac:dyDescent="0.45">
      <c r="A354" s="1"/>
      <c r="B354" s="2"/>
      <c r="C354" s="11"/>
      <c r="D354" s="11"/>
      <c r="E354" s="11"/>
      <c r="F354" s="11"/>
      <c r="G354" s="11"/>
      <c r="H354" s="11"/>
      <c r="I354" s="11"/>
      <c r="J354" s="11"/>
    </row>
    <row r="355" spans="1:10" x14ac:dyDescent="0.45">
      <c r="A355" s="1"/>
      <c r="B355" s="2"/>
      <c r="C355" s="11"/>
      <c r="D355" s="11"/>
      <c r="E355" s="11"/>
      <c r="F355" s="11"/>
      <c r="G355" s="11"/>
      <c r="H355" s="11"/>
      <c r="I355" s="11"/>
      <c r="J355" s="11"/>
    </row>
    <row r="356" spans="1:10" x14ac:dyDescent="0.45">
      <c r="A356" s="1"/>
      <c r="B356" s="2"/>
      <c r="C356" s="11"/>
      <c r="D356" s="11"/>
      <c r="E356" s="11"/>
      <c r="F356" s="11"/>
      <c r="G356" s="11"/>
      <c r="H356" s="11"/>
      <c r="I356" s="11"/>
      <c r="J356" s="11"/>
    </row>
    <row r="357" spans="1:10" x14ac:dyDescent="0.45">
      <c r="A357" s="1"/>
      <c r="B357" s="2"/>
      <c r="C357" s="11"/>
      <c r="D357" s="11"/>
      <c r="E357" s="11"/>
      <c r="F357" s="11"/>
      <c r="G357" s="11"/>
      <c r="H357" s="11"/>
      <c r="I357" s="11"/>
      <c r="J357" s="11"/>
    </row>
    <row r="358" spans="1:10" x14ac:dyDescent="0.45">
      <c r="A358" s="1"/>
      <c r="B358" s="2"/>
      <c r="C358" s="11"/>
      <c r="D358" s="11"/>
      <c r="E358" s="11"/>
      <c r="F358" s="11"/>
      <c r="G358" s="11"/>
      <c r="H358" s="11"/>
      <c r="I358" s="11"/>
      <c r="J358" s="11"/>
    </row>
    <row r="359" spans="1:10" x14ac:dyDescent="0.45">
      <c r="A359" s="1"/>
      <c r="B359" s="2"/>
      <c r="C359" s="11"/>
      <c r="D359" s="11"/>
      <c r="E359" s="11"/>
      <c r="F359" s="11"/>
      <c r="G359" s="11"/>
      <c r="H359" s="11"/>
      <c r="I359" s="11"/>
      <c r="J359" s="11"/>
    </row>
    <row r="360" spans="1:10" x14ac:dyDescent="0.45">
      <c r="A360" s="1"/>
      <c r="B360" s="2"/>
      <c r="C360" s="11"/>
      <c r="D360" s="11"/>
      <c r="E360" s="11"/>
      <c r="F360" s="11"/>
      <c r="G360" s="11"/>
      <c r="H360" s="11"/>
      <c r="I360" s="11"/>
      <c r="J360" s="11"/>
    </row>
    <row r="361" spans="1:10" x14ac:dyDescent="0.45">
      <c r="A361" s="1"/>
      <c r="B361" s="2"/>
      <c r="C361" s="11"/>
      <c r="D361" s="11"/>
      <c r="E361" s="11"/>
      <c r="F361" s="11"/>
      <c r="G361" s="11"/>
      <c r="H361" s="11"/>
      <c r="I361" s="11"/>
      <c r="J361" s="11"/>
    </row>
    <row r="362" spans="1:10" x14ac:dyDescent="0.45">
      <c r="A362" s="1"/>
      <c r="B362" s="2"/>
    </row>
    <row r="363" spans="1:10" x14ac:dyDescent="0.45">
      <c r="A363" s="1"/>
      <c r="B363" s="2"/>
    </row>
    <row r="364" spans="1:10" x14ac:dyDescent="0.45">
      <c r="A364" s="1"/>
      <c r="B364" s="2"/>
    </row>
    <row r="365" spans="1:10" x14ac:dyDescent="0.45">
      <c r="A365" s="1"/>
      <c r="B365" s="2"/>
    </row>
    <row r="366" spans="1:10" x14ac:dyDescent="0.45">
      <c r="A366" s="1"/>
      <c r="B366" s="2"/>
    </row>
    <row r="367" spans="1:10" x14ac:dyDescent="0.45">
      <c r="A367" s="1"/>
      <c r="B367" s="2"/>
    </row>
    <row r="368" spans="1:10" x14ac:dyDescent="0.45">
      <c r="A368" s="1"/>
      <c r="B368" s="2"/>
    </row>
    <row r="369" spans="1:2" x14ac:dyDescent="0.45">
      <c r="A369" s="1"/>
      <c r="B369" s="2"/>
    </row>
    <row r="370" spans="1:2" x14ac:dyDescent="0.45">
      <c r="A370" s="1"/>
      <c r="B370" s="2"/>
    </row>
    <row r="371" spans="1:2" x14ac:dyDescent="0.45">
      <c r="A371" s="1"/>
      <c r="B371" s="2"/>
    </row>
    <row r="372" spans="1:2" x14ac:dyDescent="0.45">
      <c r="A372" s="1"/>
      <c r="B372" s="2"/>
    </row>
    <row r="373" spans="1:2" x14ac:dyDescent="0.45">
      <c r="A373" s="1"/>
      <c r="B373" s="2"/>
    </row>
    <row r="374" spans="1:2" x14ac:dyDescent="0.45">
      <c r="A374" s="1"/>
      <c r="B374" s="2"/>
    </row>
    <row r="375" spans="1:2" x14ac:dyDescent="0.45">
      <c r="A375" s="1"/>
      <c r="B375" s="2"/>
    </row>
    <row r="376" spans="1:2" x14ac:dyDescent="0.45">
      <c r="A376" s="1"/>
      <c r="B376" s="2"/>
    </row>
    <row r="377" spans="1:2" x14ac:dyDescent="0.45">
      <c r="A377" s="1"/>
      <c r="B377" s="2"/>
    </row>
    <row r="378" spans="1:2" x14ac:dyDescent="0.45">
      <c r="A378" s="1"/>
      <c r="B378" s="2"/>
    </row>
    <row r="379" spans="1:2" x14ac:dyDescent="0.45">
      <c r="A379" s="1"/>
      <c r="B379" s="2"/>
    </row>
    <row r="380" spans="1:2" x14ac:dyDescent="0.45">
      <c r="A380" s="1"/>
      <c r="B380" s="2"/>
    </row>
    <row r="381" spans="1:2" x14ac:dyDescent="0.45">
      <c r="A381" s="1"/>
      <c r="B381" s="2"/>
    </row>
    <row r="382" spans="1:2" x14ac:dyDescent="0.45">
      <c r="A382" s="1"/>
      <c r="B382" s="2"/>
    </row>
    <row r="383" spans="1:2" x14ac:dyDescent="0.45">
      <c r="A383" s="1"/>
      <c r="B383" s="2"/>
    </row>
    <row r="384" spans="1:2" x14ac:dyDescent="0.45">
      <c r="A384" s="1"/>
      <c r="B384" s="2"/>
    </row>
    <row r="385" spans="1:2" x14ac:dyDescent="0.45">
      <c r="A385" s="1"/>
      <c r="B385" s="2"/>
    </row>
    <row r="386" spans="1:2" x14ac:dyDescent="0.45">
      <c r="A386" s="1"/>
      <c r="B386" s="2"/>
    </row>
    <row r="387" spans="1:2" x14ac:dyDescent="0.45">
      <c r="A387" s="1"/>
      <c r="B387" s="2"/>
    </row>
    <row r="388" spans="1:2" x14ac:dyDescent="0.45">
      <c r="A388" s="1"/>
      <c r="B388" s="2"/>
    </row>
    <row r="389" spans="1:2" x14ac:dyDescent="0.45">
      <c r="A389" s="1"/>
      <c r="B389" s="2"/>
    </row>
    <row r="390" spans="1:2" x14ac:dyDescent="0.45">
      <c r="A390" s="1"/>
      <c r="B390" s="2"/>
    </row>
    <row r="391" spans="1:2" x14ac:dyDescent="0.45">
      <c r="A391" s="1"/>
      <c r="B391" s="2"/>
    </row>
    <row r="392" spans="1:2" x14ac:dyDescent="0.45">
      <c r="A392" s="1"/>
      <c r="B392" s="2"/>
    </row>
    <row r="393" spans="1:2" x14ac:dyDescent="0.45">
      <c r="A393" s="1"/>
      <c r="B393" s="2"/>
    </row>
    <row r="394" spans="1:2" x14ac:dyDescent="0.45">
      <c r="A394" s="1"/>
      <c r="B394" s="2"/>
    </row>
    <row r="395" spans="1:2" x14ac:dyDescent="0.45">
      <c r="A395" s="1"/>
      <c r="B395" s="2"/>
    </row>
    <row r="396" spans="1:2" x14ac:dyDescent="0.45">
      <c r="A396" s="1"/>
      <c r="B396" s="2"/>
    </row>
    <row r="397" spans="1:2" x14ac:dyDescent="0.45">
      <c r="A397" s="1"/>
      <c r="B397" s="2"/>
    </row>
    <row r="398" spans="1:2" x14ac:dyDescent="0.45">
      <c r="A398" s="1"/>
      <c r="B398" s="2"/>
    </row>
    <row r="399" spans="1:2" x14ac:dyDescent="0.45">
      <c r="A399" s="1"/>
      <c r="B399" s="2"/>
    </row>
    <row r="400" spans="1:2" x14ac:dyDescent="0.45">
      <c r="A400" s="1"/>
      <c r="B400" s="2"/>
    </row>
    <row r="401" spans="1:2" x14ac:dyDescent="0.45">
      <c r="A401" s="1"/>
      <c r="B401" s="2"/>
    </row>
    <row r="402" spans="1:2" x14ac:dyDescent="0.45">
      <c r="A402" s="1"/>
      <c r="B402" s="2"/>
    </row>
    <row r="403" spans="1:2" x14ac:dyDescent="0.45">
      <c r="A403" s="1"/>
      <c r="B403" s="2"/>
    </row>
    <row r="404" spans="1:2" x14ac:dyDescent="0.45">
      <c r="A404" s="1"/>
      <c r="B404" s="2"/>
    </row>
    <row r="405" spans="1:2" x14ac:dyDescent="0.45">
      <c r="A405" s="1"/>
      <c r="B405" s="2"/>
    </row>
    <row r="406" spans="1:2" x14ac:dyDescent="0.45">
      <c r="A406" s="1"/>
      <c r="B406" s="2"/>
    </row>
    <row r="407" spans="1:2" x14ac:dyDescent="0.45">
      <c r="A407" s="1"/>
      <c r="B407" s="2"/>
    </row>
    <row r="408" spans="1:2" x14ac:dyDescent="0.45">
      <c r="A408" s="1"/>
      <c r="B408" s="2"/>
    </row>
    <row r="409" spans="1:2" x14ac:dyDescent="0.45">
      <c r="A409" s="1"/>
      <c r="B409" s="2"/>
    </row>
    <row r="410" spans="1:2" x14ac:dyDescent="0.45">
      <c r="A410" s="1"/>
      <c r="B410" s="2"/>
    </row>
    <row r="411" spans="1:2" x14ac:dyDescent="0.45">
      <c r="A411" s="1"/>
      <c r="B411" s="2"/>
    </row>
    <row r="412" spans="1:2" x14ac:dyDescent="0.45">
      <c r="A412" s="1"/>
      <c r="B412" s="2"/>
    </row>
    <row r="413" spans="1:2" x14ac:dyDescent="0.45">
      <c r="A413" s="1"/>
      <c r="B413" s="2"/>
    </row>
    <row r="414" spans="1:2" x14ac:dyDescent="0.45">
      <c r="A414" s="1"/>
      <c r="B414" s="2"/>
    </row>
    <row r="415" spans="1:2" x14ac:dyDescent="0.45">
      <c r="A415" s="1"/>
      <c r="B415" s="2"/>
    </row>
    <row r="416" spans="1:2" x14ac:dyDescent="0.45">
      <c r="A416" s="1"/>
      <c r="B416" s="2"/>
    </row>
    <row r="417" spans="1:2" x14ac:dyDescent="0.45">
      <c r="A417" s="1"/>
      <c r="B417" s="2"/>
    </row>
    <row r="418" spans="1:2" x14ac:dyDescent="0.45">
      <c r="A418" s="1"/>
      <c r="B418" s="2"/>
    </row>
    <row r="419" spans="1:2" x14ac:dyDescent="0.45">
      <c r="A419" s="1"/>
      <c r="B419" s="2"/>
    </row>
    <row r="420" spans="1:2" x14ac:dyDescent="0.45">
      <c r="A420" s="1"/>
      <c r="B420" s="2"/>
    </row>
    <row r="421" spans="1:2" x14ac:dyDescent="0.45">
      <c r="A421" s="1"/>
      <c r="B421" s="2"/>
    </row>
    <row r="422" spans="1:2" x14ac:dyDescent="0.45">
      <c r="A422" s="1"/>
      <c r="B422" s="2"/>
    </row>
    <row r="423" spans="1:2" x14ac:dyDescent="0.45">
      <c r="A423" s="1"/>
      <c r="B423" s="2"/>
    </row>
    <row r="424" spans="1:2" x14ac:dyDescent="0.45">
      <c r="A424" s="1"/>
      <c r="B424" s="2"/>
    </row>
    <row r="425" spans="1:2" x14ac:dyDescent="0.45">
      <c r="A425" s="1"/>
      <c r="B425" s="2"/>
    </row>
    <row r="426" spans="1:2" x14ac:dyDescent="0.45">
      <c r="A426" s="1"/>
      <c r="B426" s="2"/>
    </row>
    <row r="427" spans="1:2" x14ac:dyDescent="0.45">
      <c r="A427" s="1"/>
      <c r="B427" s="2"/>
    </row>
    <row r="428" spans="1:2" x14ac:dyDescent="0.45">
      <c r="A428" s="1"/>
      <c r="B428" s="2"/>
    </row>
    <row r="429" spans="1:2" x14ac:dyDescent="0.45">
      <c r="A429" s="1"/>
      <c r="B429" s="2"/>
    </row>
    <row r="430" spans="1:2" x14ac:dyDescent="0.45">
      <c r="A430" s="1"/>
      <c r="B430" s="2"/>
    </row>
    <row r="431" spans="1:2" x14ac:dyDescent="0.45">
      <c r="A431" s="1"/>
      <c r="B431" s="2"/>
    </row>
    <row r="432" spans="1:2" x14ac:dyDescent="0.45">
      <c r="A432" s="1"/>
      <c r="B432" s="2"/>
    </row>
    <row r="433" spans="1:2" x14ac:dyDescent="0.45">
      <c r="A433" s="1"/>
      <c r="B433" s="2"/>
    </row>
    <row r="434" spans="1:2" x14ac:dyDescent="0.45">
      <c r="A434" s="1"/>
      <c r="B434" s="2"/>
    </row>
    <row r="435" spans="1:2" x14ac:dyDescent="0.45">
      <c r="A435" s="1"/>
      <c r="B435" s="2"/>
    </row>
    <row r="436" spans="1:2" x14ac:dyDescent="0.45">
      <c r="A436" s="1"/>
      <c r="B436" s="2"/>
    </row>
    <row r="437" spans="1:2" x14ac:dyDescent="0.45">
      <c r="A437" s="1"/>
      <c r="B437" s="2"/>
    </row>
    <row r="438" spans="1:2" x14ac:dyDescent="0.45">
      <c r="A438" s="1"/>
      <c r="B438" s="2"/>
    </row>
    <row r="439" spans="1:2" x14ac:dyDescent="0.45">
      <c r="A439" s="1"/>
      <c r="B439" s="2"/>
    </row>
    <row r="440" spans="1:2" x14ac:dyDescent="0.45">
      <c r="A440" s="1"/>
      <c r="B440" s="2"/>
    </row>
    <row r="441" spans="1:2" x14ac:dyDescent="0.45">
      <c r="A441" s="1"/>
      <c r="B441" s="2"/>
    </row>
    <row r="442" spans="1:2" x14ac:dyDescent="0.45">
      <c r="A442" s="1"/>
      <c r="B442" s="2"/>
    </row>
    <row r="443" spans="1:2" x14ac:dyDescent="0.45">
      <c r="A443" s="1"/>
      <c r="B443" s="2"/>
    </row>
    <row r="444" spans="1:2" x14ac:dyDescent="0.45">
      <c r="A444" s="1"/>
      <c r="B444" s="2"/>
    </row>
    <row r="445" spans="1:2" x14ac:dyDescent="0.45">
      <c r="A445" s="1"/>
      <c r="B445" s="2"/>
    </row>
    <row r="446" spans="1:2" x14ac:dyDescent="0.45">
      <c r="A446" s="1"/>
      <c r="B446" s="2"/>
    </row>
    <row r="447" spans="1:2" x14ac:dyDescent="0.45">
      <c r="A447" s="1"/>
      <c r="B447" s="2"/>
    </row>
    <row r="448" spans="1:2" x14ac:dyDescent="0.45">
      <c r="A448" s="1"/>
      <c r="B448" s="2"/>
    </row>
    <row r="449" spans="1:2" x14ac:dyDescent="0.45">
      <c r="A449" s="1"/>
      <c r="B449" s="2"/>
    </row>
    <row r="450" spans="1:2" x14ac:dyDescent="0.45">
      <c r="A450" s="1"/>
      <c r="B450" s="2"/>
    </row>
    <row r="451" spans="1:2" x14ac:dyDescent="0.45">
      <c r="A451" s="1"/>
      <c r="B451" s="2"/>
    </row>
    <row r="452" spans="1:2" x14ac:dyDescent="0.45">
      <c r="A452" s="1"/>
      <c r="B452" s="2"/>
    </row>
    <row r="453" spans="1:2" x14ac:dyDescent="0.45">
      <c r="A453" s="1"/>
      <c r="B453" s="2"/>
    </row>
    <row r="454" spans="1:2" x14ac:dyDescent="0.45">
      <c r="A454" s="1"/>
      <c r="B454" s="2"/>
    </row>
    <row r="455" spans="1:2" x14ac:dyDescent="0.45">
      <c r="A455" s="1"/>
      <c r="B455" s="2"/>
    </row>
    <row r="456" spans="1:2" x14ac:dyDescent="0.45">
      <c r="A456" s="1"/>
      <c r="B456" s="2"/>
    </row>
    <row r="457" spans="1:2" x14ac:dyDescent="0.45">
      <c r="A457" s="1"/>
      <c r="B457" s="2"/>
    </row>
    <row r="458" spans="1:2" x14ac:dyDescent="0.45">
      <c r="A458" s="1"/>
      <c r="B458" s="2"/>
    </row>
    <row r="459" spans="1:2" x14ac:dyDescent="0.45">
      <c r="A459" s="1"/>
      <c r="B459" s="2"/>
    </row>
    <row r="460" spans="1:2" x14ac:dyDescent="0.45">
      <c r="A460" s="1"/>
      <c r="B460" s="2"/>
    </row>
    <row r="461" spans="1:2" x14ac:dyDescent="0.45">
      <c r="A461" s="1"/>
      <c r="B461" s="2"/>
    </row>
    <row r="462" spans="1:2" x14ac:dyDescent="0.45">
      <c r="A462" s="1"/>
      <c r="B462" s="2"/>
    </row>
    <row r="463" spans="1:2" x14ac:dyDescent="0.45">
      <c r="A463" s="1"/>
      <c r="B463" s="2"/>
    </row>
    <row r="464" spans="1:2" x14ac:dyDescent="0.45">
      <c r="A464" s="1"/>
      <c r="B464" s="2"/>
    </row>
    <row r="465" spans="1:2" x14ac:dyDescent="0.45">
      <c r="A465" s="1"/>
      <c r="B465" s="2"/>
    </row>
    <row r="466" spans="1:2" x14ac:dyDescent="0.45">
      <c r="A466" s="1"/>
      <c r="B466" s="2"/>
    </row>
    <row r="467" spans="1:2" x14ac:dyDescent="0.45">
      <c r="A467" s="1"/>
      <c r="B467" s="2"/>
    </row>
    <row r="468" spans="1:2" x14ac:dyDescent="0.45">
      <c r="A468" s="1"/>
      <c r="B468" s="2"/>
    </row>
    <row r="469" spans="1:2" x14ac:dyDescent="0.45">
      <c r="A469" s="1"/>
      <c r="B469" s="2"/>
    </row>
    <row r="470" spans="1:2" x14ac:dyDescent="0.45">
      <c r="A470" s="1"/>
      <c r="B470" s="2"/>
    </row>
    <row r="471" spans="1:2" x14ac:dyDescent="0.45">
      <c r="A471" s="1"/>
      <c r="B471" s="2"/>
    </row>
    <row r="472" spans="1:2" x14ac:dyDescent="0.45">
      <c r="A472" s="1"/>
      <c r="B472" s="2"/>
    </row>
    <row r="473" spans="1:2" x14ac:dyDescent="0.45">
      <c r="A473" s="1"/>
      <c r="B473" s="2"/>
    </row>
    <row r="474" spans="1:2" x14ac:dyDescent="0.45">
      <c r="A474" s="1"/>
      <c r="B474" s="2"/>
    </row>
    <row r="475" spans="1:2" x14ac:dyDescent="0.45">
      <c r="A475" s="1"/>
      <c r="B475" s="2"/>
    </row>
    <row r="476" spans="1:2" x14ac:dyDescent="0.45">
      <c r="A476" s="1"/>
      <c r="B476" s="2"/>
    </row>
    <row r="477" spans="1:2" x14ac:dyDescent="0.45">
      <c r="A477" s="1"/>
      <c r="B477" s="2"/>
    </row>
    <row r="478" spans="1:2" x14ac:dyDescent="0.45">
      <c r="A478" s="1"/>
      <c r="B478" s="2"/>
    </row>
    <row r="479" spans="1:2" x14ac:dyDescent="0.45">
      <c r="A479" s="1"/>
      <c r="B479" s="2"/>
    </row>
    <row r="480" spans="1:2" x14ac:dyDescent="0.45">
      <c r="A480" s="1"/>
      <c r="B480" s="2"/>
    </row>
    <row r="481" spans="1:2" x14ac:dyDescent="0.45">
      <c r="A481" s="1"/>
      <c r="B481" s="2"/>
    </row>
    <row r="482" spans="1:2" x14ac:dyDescent="0.45">
      <c r="A482" s="1"/>
      <c r="B482" s="2"/>
    </row>
    <row r="483" spans="1:2" x14ac:dyDescent="0.45">
      <c r="A483" s="1"/>
      <c r="B483" s="2"/>
    </row>
    <row r="484" spans="1:2" x14ac:dyDescent="0.45">
      <c r="A484" s="1"/>
      <c r="B484" s="2"/>
    </row>
    <row r="485" spans="1:2" x14ac:dyDescent="0.45">
      <c r="A485" s="1"/>
      <c r="B485" s="2"/>
    </row>
    <row r="486" spans="1:2" x14ac:dyDescent="0.45">
      <c r="A486" s="1"/>
      <c r="B486" s="2"/>
    </row>
    <row r="487" spans="1:2" x14ac:dyDescent="0.45">
      <c r="A487" s="1"/>
      <c r="B487" s="2"/>
    </row>
    <row r="488" spans="1:2" x14ac:dyDescent="0.45">
      <c r="A488" s="1"/>
      <c r="B488" s="2"/>
    </row>
    <row r="489" spans="1:2" x14ac:dyDescent="0.45">
      <c r="A489" s="1"/>
      <c r="B489" s="2"/>
    </row>
    <row r="490" spans="1:2" x14ac:dyDescent="0.45">
      <c r="A490" s="1"/>
      <c r="B490" s="2"/>
    </row>
    <row r="491" spans="1:2" x14ac:dyDescent="0.45">
      <c r="A491" s="1"/>
      <c r="B491" s="2"/>
    </row>
    <row r="492" spans="1:2" x14ac:dyDescent="0.45">
      <c r="A492" s="1"/>
      <c r="B492" s="2"/>
    </row>
    <row r="493" spans="1:2" x14ac:dyDescent="0.45">
      <c r="A493" s="1"/>
      <c r="B493" s="2"/>
    </row>
    <row r="494" spans="1:2" x14ac:dyDescent="0.45">
      <c r="A494" s="1"/>
      <c r="B494" s="2"/>
    </row>
    <row r="495" spans="1:2" x14ac:dyDescent="0.45">
      <c r="A495" s="1"/>
      <c r="B495" s="2"/>
    </row>
    <row r="496" spans="1:2" x14ac:dyDescent="0.45">
      <c r="A496" s="1"/>
      <c r="B496" s="2"/>
    </row>
    <row r="497" spans="1:2" x14ac:dyDescent="0.45">
      <c r="A497" s="1"/>
      <c r="B497" s="2"/>
    </row>
    <row r="498" spans="1:2" x14ac:dyDescent="0.45">
      <c r="A498" s="1"/>
      <c r="B498" s="2"/>
    </row>
    <row r="499" spans="1:2" x14ac:dyDescent="0.45">
      <c r="A499" s="1"/>
      <c r="B499" s="2"/>
    </row>
    <row r="500" spans="1:2" x14ac:dyDescent="0.45">
      <c r="A500" s="1"/>
      <c r="B500" s="2"/>
    </row>
    <row r="501" spans="1:2" x14ac:dyDescent="0.45">
      <c r="A501" s="1"/>
      <c r="B501" s="2"/>
    </row>
    <row r="502" spans="1:2" x14ac:dyDescent="0.45">
      <c r="A502" s="1"/>
      <c r="B502" s="2"/>
    </row>
    <row r="503" spans="1:2" x14ac:dyDescent="0.45">
      <c r="A503" s="1"/>
      <c r="B503" s="2"/>
    </row>
    <row r="504" spans="1:2" x14ac:dyDescent="0.45">
      <c r="A504" s="1"/>
      <c r="B504" s="2"/>
    </row>
    <row r="505" spans="1:2" x14ac:dyDescent="0.45">
      <c r="A505" s="1"/>
      <c r="B505" s="2"/>
    </row>
    <row r="506" spans="1:2" x14ac:dyDescent="0.45">
      <c r="A506" s="1"/>
      <c r="B506" s="2"/>
    </row>
    <row r="507" spans="1:2" x14ac:dyDescent="0.45">
      <c r="A507" s="1"/>
      <c r="B507" s="2"/>
    </row>
    <row r="508" spans="1:2" x14ac:dyDescent="0.45">
      <c r="A508" s="1"/>
      <c r="B508" s="2"/>
    </row>
    <row r="509" spans="1:2" x14ac:dyDescent="0.45">
      <c r="A509" s="1"/>
      <c r="B509" s="2"/>
    </row>
    <row r="510" spans="1:2" x14ac:dyDescent="0.45">
      <c r="A510" s="1"/>
      <c r="B510" s="2"/>
    </row>
    <row r="511" spans="1:2" x14ac:dyDescent="0.45">
      <c r="A511" s="1"/>
      <c r="B511" s="2"/>
    </row>
    <row r="512" spans="1:2" x14ac:dyDescent="0.45">
      <c r="A512" s="1"/>
      <c r="B512" s="2"/>
    </row>
    <row r="513" spans="1:2" x14ac:dyDescent="0.45">
      <c r="A513" s="1"/>
      <c r="B513" s="2"/>
    </row>
    <row r="514" spans="1:2" x14ac:dyDescent="0.45">
      <c r="A514" s="1"/>
      <c r="B514" s="2"/>
    </row>
    <row r="515" spans="1:2" x14ac:dyDescent="0.45">
      <c r="A515" s="1"/>
      <c r="B515" s="2"/>
    </row>
    <row r="516" spans="1:2" x14ac:dyDescent="0.45">
      <c r="A516" s="1"/>
      <c r="B516" s="2"/>
    </row>
    <row r="517" spans="1:2" x14ac:dyDescent="0.45">
      <c r="A517" s="1"/>
      <c r="B517" s="2"/>
    </row>
    <row r="518" spans="1:2" x14ac:dyDescent="0.45">
      <c r="A518" s="1"/>
      <c r="B518" s="2"/>
    </row>
    <row r="519" spans="1:2" x14ac:dyDescent="0.45">
      <c r="A519" s="1"/>
      <c r="B519" s="2"/>
    </row>
    <row r="520" spans="1:2" x14ac:dyDescent="0.45">
      <c r="A520" s="1"/>
      <c r="B520" s="2"/>
    </row>
    <row r="521" spans="1:2" x14ac:dyDescent="0.45">
      <c r="A521" s="1"/>
      <c r="B521" s="2"/>
    </row>
    <row r="522" spans="1:2" x14ac:dyDescent="0.45">
      <c r="A522" s="1"/>
      <c r="B522" s="2"/>
    </row>
    <row r="523" spans="1:2" x14ac:dyDescent="0.45">
      <c r="A523" s="1"/>
      <c r="B523" s="2"/>
    </row>
    <row r="524" spans="1:2" x14ac:dyDescent="0.45">
      <c r="A524" s="1"/>
      <c r="B524" s="2"/>
    </row>
    <row r="525" spans="1:2" x14ac:dyDescent="0.45">
      <c r="A525" s="1"/>
      <c r="B525" s="2"/>
    </row>
    <row r="526" spans="1:2" x14ac:dyDescent="0.45">
      <c r="A526" s="1"/>
      <c r="B526" s="2"/>
    </row>
    <row r="527" spans="1:2" x14ac:dyDescent="0.45">
      <c r="A527" s="1"/>
      <c r="B527" s="2"/>
    </row>
    <row r="528" spans="1:2" x14ac:dyDescent="0.45">
      <c r="A528" s="1"/>
      <c r="B528" s="2"/>
    </row>
    <row r="529" spans="1:2" x14ac:dyDescent="0.45">
      <c r="A529" s="1"/>
      <c r="B529" s="2"/>
    </row>
    <row r="530" spans="1:2" x14ac:dyDescent="0.45">
      <c r="A530" s="1"/>
      <c r="B530" s="2"/>
    </row>
    <row r="531" spans="1:2" x14ac:dyDescent="0.45">
      <c r="A531" s="1"/>
      <c r="B531" s="2"/>
    </row>
    <row r="532" spans="1:2" x14ac:dyDescent="0.45">
      <c r="A532" s="1"/>
      <c r="B532" s="2"/>
    </row>
    <row r="533" spans="1:2" x14ac:dyDescent="0.45">
      <c r="A533" s="1"/>
      <c r="B533" s="2"/>
    </row>
    <row r="534" spans="1:2" x14ac:dyDescent="0.45">
      <c r="A534" s="1"/>
      <c r="B534" s="2"/>
    </row>
    <row r="535" spans="1:2" x14ac:dyDescent="0.45">
      <c r="A535" s="1"/>
      <c r="B535" s="2"/>
    </row>
    <row r="536" spans="1:2" x14ac:dyDescent="0.45">
      <c r="A536" s="1"/>
      <c r="B536" s="2"/>
    </row>
    <row r="537" spans="1:2" x14ac:dyDescent="0.45">
      <c r="A537" s="1"/>
      <c r="B537" s="2"/>
    </row>
    <row r="538" spans="1:2" x14ac:dyDescent="0.45">
      <c r="A538" s="1"/>
      <c r="B538" s="2"/>
    </row>
    <row r="539" spans="1:2" x14ac:dyDescent="0.45">
      <c r="A539" s="1"/>
      <c r="B539" s="2"/>
    </row>
    <row r="540" spans="1:2" x14ac:dyDescent="0.45">
      <c r="A540" s="1"/>
      <c r="B540" s="2"/>
    </row>
    <row r="541" spans="1:2" x14ac:dyDescent="0.45">
      <c r="A541" s="1"/>
      <c r="B541" s="2"/>
    </row>
    <row r="542" spans="1:2" x14ac:dyDescent="0.45">
      <c r="A542" s="1"/>
      <c r="B542" s="2"/>
    </row>
    <row r="543" spans="1:2" x14ac:dyDescent="0.45">
      <c r="A543" s="1"/>
      <c r="B543" s="2"/>
    </row>
    <row r="544" spans="1:2" x14ac:dyDescent="0.45">
      <c r="A544" s="1"/>
      <c r="B544" s="2"/>
    </row>
    <row r="545" spans="1:2" x14ac:dyDescent="0.45">
      <c r="A545" s="1"/>
      <c r="B545" s="2"/>
    </row>
    <row r="546" spans="1:2" x14ac:dyDescent="0.45">
      <c r="A546" s="1"/>
      <c r="B546" s="2"/>
    </row>
    <row r="547" spans="1:2" x14ac:dyDescent="0.45">
      <c r="A547" s="1"/>
      <c r="B547" s="2"/>
    </row>
    <row r="548" spans="1:2" x14ac:dyDescent="0.45">
      <c r="A548" s="1"/>
      <c r="B548" s="2"/>
    </row>
    <row r="549" spans="1:2" x14ac:dyDescent="0.45">
      <c r="A549" s="1"/>
      <c r="B549" s="2"/>
    </row>
    <row r="550" spans="1:2" x14ac:dyDescent="0.45">
      <c r="A550" s="1"/>
      <c r="B550" s="2"/>
    </row>
    <row r="551" spans="1:2" x14ac:dyDescent="0.45">
      <c r="A551" s="1"/>
      <c r="B551" s="2"/>
    </row>
    <row r="552" spans="1:2" x14ac:dyDescent="0.45">
      <c r="A552" s="1"/>
      <c r="B552" s="2"/>
    </row>
    <row r="553" spans="1:2" x14ac:dyDescent="0.45">
      <c r="A553" s="1"/>
      <c r="B553" s="2"/>
    </row>
    <row r="554" spans="1:2" x14ac:dyDescent="0.45">
      <c r="A554" s="1"/>
      <c r="B554" s="2"/>
    </row>
    <row r="555" spans="1:2" x14ac:dyDescent="0.45">
      <c r="A555" s="1"/>
      <c r="B555" s="2"/>
    </row>
    <row r="556" spans="1:2" x14ac:dyDescent="0.45">
      <c r="A556" s="1"/>
      <c r="B556" s="2"/>
    </row>
    <row r="557" spans="1:2" x14ac:dyDescent="0.45">
      <c r="A557" s="1"/>
      <c r="B557" s="2"/>
    </row>
    <row r="558" spans="1:2" x14ac:dyDescent="0.45">
      <c r="A558" s="1"/>
      <c r="B558" s="2"/>
    </row>
    <row r="559" spans="1:2" x14ac:dyDescent="0.45">
      <c r="A559" s="1"/>
      <c r="B559" s="2"/>
    </row>
    <row r="560" spans="1:2" x14ac:dyDescent="0.45">
      <c r="A560" s="1"/>
      <c r="B560" s="2"/>
    </row>
    <row r="561" spans="1:2" x14ac:dyDescent="0.45">
      <c r="A561" s="1"/>
      <c r="B561" s="2"/>
    </row>
    <row r="562" spans="1:2" x14ac:dyDescent="0.45">
      <c r="A562" s="1"/>
      <c r="B562" s="2"/>
    </row>
    <row r="563" spans="1:2" x14ac:dyDescent="0.45">
      <c r="A563" s="1"/>
      <c r="B563" s="2"/>
    </row>
    <row r="564" spans="1:2" x14ac:dyDescent="0.45">
      <c r="A564" s="1"/>
      <c r="B564" s="2"/>
    </row>
    <row r="565" spans="1:2" x14ac:dyDescent="0.45">
      <c r="A565" s="1"/>
      <c r="B565" s="2"/>
    </row>
    <row r="566" spans="1:2" x14ac:dyDescent="0.45">
      <c r="A566" s="1"/>
      <c r="B566" s="2"/>
    </row>
    <row r="567" spans="1:2" x14ac:dyDescent="0.45">
      <c r="A567" s="1"/>
      <c r="B567" s="2"/>
    </row>
    <row r="568" spans="1:2" x14ac:dyDescent="0.45">
      <c r="A568" s="1"/>
      <c r="B568" s="2"/>
    </row>
    <row r="569" spans="1:2" x14ac:dyDescent="0.45">
      <c r="A569" s="1"/>
      <c r="B569" s="2"/>
    </row>
    <row r="570" spans="1:2" x14ac:dyDescent="0.45">
      <c r="A570" s="1"/>
      <c r="B570" s="2"/>
    </row>
    <row r="571" spans="1:2" x14ac:dyDescent="0.45">
      <c r="A571" s="1"/>
      <c r="B571" s="2"/>
    </row>
    <row r="572" spans="1:2" x14ac:dyDescent="0.45">
      <c r="A572" s="1"/>
      <c r="B572" s="2"/>
    </row>
    <row r="573" spans="1:2" x14ac:dyDescent="0.45">
      <c r="A573" s="1"/>
      <c r="B573" s="2"/>
    </row>
    <row r="574" spans="1:2" x14ac:dyDescent="0.45">
      <c r="A574" s="1"/>
      <c r="B574" s="2"/>
    </row>
    <row r="575" spans="1:2" x14ac:dyDescent="0.45">
      <c r="A575" s="1"/>
      <c r="B575" s="2"/>
    </row>
    <row r="576" spans="1:2" x14ac:dyDescent="0.45">
      <c r="A576" s="1"/>
      <c r="B576" s="2"/>
    </row>
    <row r="577" spans="1:2" x14ac:dyDescent="0.45">
      <c r="A577" s="1"/>
      <c r="B577" s="2"/>
    </row>
    <row r="578" spans="1:2" x14ac:dyDescent="0.45">
      <c r="A578" s="1"/>
      <c r="B578" s="2"/>
    </row>
    <row r="579" spans="1:2" x14ac:dyDescent="0.45">
      <c r="A579" s="1"/>
      <c r="B579" s="2"/>
    </row>
    <row r="580" spans="1:2" x14ac:dyDescent="0.45">
      <c r="A580" s="1"/>
      <c r="B580" s="2"/>
    </row>
    <row r="581" spans="1:2" x14ac:dyDescent="0.45">
      <c r="A581" s="1"/>
      <c r="B581" s="2"/>
    </row>
    <row r="582" spans="1:2" x14ac:dyDescent="0.45">
      <c r="A582" s="1"/>
      <c r="B582" s="2"/>
    </row>
    <row r="583" spans="1:2" x14ac:dyDescent="0.45">
      <c r="A583" s="1"/>
      <c r="B583" s="2"/>
    </row>
    <row r="584" spans="1:2" x14ac:dyDescent="0.45">
      <c r="A584" s="1"/>
      <c r="B584" s="2"/>
    </row>
    <row r="585" spans="1:2" x14ac:dyDescent="0.45">
      <c r="A585" s="1"/>
      <c r="B585" s="2"/>
    </row>
    <row r="586" spans="1:2" x14ac:dyDescent="0.45">
      <c r="A586" s="1"/>
      <c r="B586" s="2"/>
    </row>
    <row r="587" spans="1:2" x14ac:dyDescent="0.45">
      <c r="A587" s="1"/>
      <c r="B587" s="2"/>
    </row>
    <row r="588" spans="1:2" x14ac:dyDescent="0.45">
      <c r="A588" s="1"/>
      <c r="B588" s="2"/>
    </row>
    <row r="589" spans="1:2" x14ac:dyDescent="0.45">
      <c r="A589" s="1"/>
      <c r="B589" s="2"/>
    </row>
    <row r="590" spans="1:2" x14ac:dyDescent="0.45">
      <c r="A590" s="1"/>
      <c r="B590" s="2"/>
    </row>
    <row r="591" spans="1:2" x14ac:dyDescent="0.45">
      <c r="A591" s="1"/>
      <c r="B591" s="2"/>
    </row>
    <row r="592" spans="1:2" x14ac:dyDescent="0.45">
      <c r="A592" s="1"/>
      <c r="B592" s="2"/>
    </row>
    <row r="593" spans="1:2" x14ac:dyDescent="0.45">
      <c r="A593" s="1"/>
      <c r="B593" s="2"/>
    </row>
    <row r="594" spans="1:2" x14ac:dyDescent="0.45">
      <c r="A594" s="1"/>
      <c r="B594" s="2"/>
    </row>
    <row r="595" spans="1:2" x14ac:dyDescent="0.45">
      <c r="A595" s="1"/>
      <c r="B595" s="2"/>
    </row>
    <row r="596" spans="1:2" x14ac:dyDescent="0.45">
      <c r="A596" s="1"/>
      <c r="B596" s="2"/>
    </row>
    <row r="597" spans="1:2" x14ac:dyDescent="0.45">
      <c r="A597" s="1"/>
      <c r="B597" s="2"/>
    </row>
    <row r="598" spans="1:2" x14ac:dyDescent="0.45">
      <c r="A598" s="1"/>
      <c r="B598" s="2"/>
    </row>
    <row r="599" spans="1:2" x14ac:dyDescent="0.45">
      <c r="A599" s="1"/>
      <c r="B599" s="2"/>
    </row>
    <row r="600" spans="1:2" x14ac:dyDescent="0.45">
      <c r="A600" s="1"/>
      <c r="B600" s="2"/>
    </row>
    <row r="601" spans="1:2" x14ac:dyDescent="0.45">
      <c r="A601" s="1"/>
      <c r="B601" s="2"/>
    </row>
    <row r="602" spans="1:2" x14ac:dyDescent="0.45">
      <c r="A602" s="1"/>
      <c r="B602" s="2"/>
    </row>
    <row r="603" spans="1:2" x14ac:dyDescent="0.45">
      <c r="A603" s="1"/>
      <c r="B603" s="2"/>
    </row>
    <row r="604" spans="1:2" x14ac:dyDescent="0.45">
      <c r="A604" s="1"/>
      <c r="B604" s="2"/>
    </row>
    <row r="605" spans="1:2" x14ac:dyDescent="0.45">
      <c r="A605" s="1"/>
      <c r="B605" s="2"/>
    </row>
    <row r="606" spans="1:2" x14ac:dyDescent="0.45">
      <c r="A606" s="1"/>
      <c r="B606" s="2"/>
    </row>
    <row r="607" spans="1:2" x14ac:dyDescent="0.45">
      <c r="A607" s="1"/>
      <c r="B607" s="2"/>
    </row>
    <row r="608" spans="1:2" x14ac:dyDescent="0.45">
      <c r="A608" s="1"/>
      <c r="B608" s="2"/>
    </row>
    <row r="609" spans="1:2" x14ac:dyDescent="0.45">
      <c r="A609" s="1"/>
      <c r="B609" s="2"/>
    </row>
    <row r="610" spans="1:2" x14ac:dyDescent="0.45">
      <c r="A610" s="1"/>
      <c r="B610" s="2"/>
    </row>
    <row r="611" spans="1:2" x14ac:dyDescent="0.45">
      <c r="A611" s="1"/>
      <c r="B611" s="2"/>
    </row>
    <row r="612" spans="1:2" x14ac:dyDescent="0.45">
      <c r="A612" s="1"/>
      <c r="B612" s="2"/>
    </row>
    <row r="613" spans="1:2" x14ac:dyDescent="0.45">
      <c r="A613" s="1"/>
      <c r="B613" s="2"/>
    </row>
    <row r="614" spans="1:2" x14ac:dyDescent="0.45">
      <c r="A614" s="1"/>
      <c r="B614" s="2"/>
    </row>
    <row r="615" spans="1:2" x14ac:dyDescent="0.45">
      <c r="A615" s="1"/>
      <c r="B615" s="2"/>
    </row>
    <row r="616" spans="1:2" x14ac:dyDescent="0.45">
      <c r="A616" s="1"/>
      <c r="B616" s="2"/>
    </row>
    <row r="617" spans="1:2" x14ac:dyDescent="0.45">
      <c r="A617" s="1"/>
      <c r="B617" s="2"/>
    </row>
    <row r="618" spans="1:2" x14ac:dyDescent="0.45">
      <c r="A618" s="1"/>
      <c r="B618" s="2"/>
    </row>
    <row r="619" spans="1:2" x14ac:dyDescent="0.45">
      <c r="A619" s="1"/>
      <c r="B619" s="2"/>
    </row>
    <row r="620" spans="1:2" x14ac:dyDescent="0.45">
      <c r="A620" s="1"/>
      <c r="B620" s="2"/>
    </row>
    <row r="621" spans="1:2" x14ac:dyDescent="0.45">
      <c r="A621" s="1"/>
      <c r="B621" s="2"/>
    </row>
    <row r="622" spans="1:2" x14ac:dyDescent="0.45">
      <c r="A622" s="1"/>
      <c r="B622" s="2"/>
    </row>
    <row r="623" spans="1:2" x14ac:dyDescent="0.45">
      <c r="A623" s="1"/>
      <c r="B623" s="2"/>
    </row>
    <row r="624" spans="1:2" x14ac:dyDescent="0.45">
      <c r="A624" s="1"/>
      <c r="B624" s="2"/>
    </row>
    <row r="625" spans="1:2" x14ac:dyDescent="0.45">
      <c r="A625" s="1"/>
      <c r="B625" s="2"/>
    </row>
    <row r="626" spans="1:2" x14ac:dyDescent="0.45">
      <c r="A626" s="1"/>
      <c r="B626" s="2"/>
    </row>
    <row r="627" spans="1:2" x14ac:dyDescent="0.45">
      <c r="A627" s="1"/>
      <c r="B627" s="2"/>
    </row>
    <row r="628" spans="1:2" x14ac:dyDescent="0.45">
      <c r="A628" s="1"/>
      <c r="B628" s="2"/>
    </row>
    <row r="629" spans="1:2" x14ac:dyDescent="0.45">
      <c r="A629" s="1"/>
      <c r="B629" s="2"/>
    </row>
    <row r="630" spans="1:2" x14ac:dyDescent="0.45">
      <c r="A630" s="1"/>
      <c r="B630" s="2"/>
    </row>
    <row r="631" spans="1:2" x14ac:dyDescent="0.45">
      <c r="A631" s="1"/>
      <c r="B631" s="2"/>
    </row>
    <row r="632" spans="1:2" x14ac:dyDescent="0.45">
      <c r="A632" s="1"/>
      <c r="B632" s="2"/>
    </row>
    <row r="633" spans="1:2" x14ac:dyDescent="0.45">
      <c r="A633" s="1"/>
      <c r="B633" s="2"/>
    </row>
    <row r="634" spans="1:2" x14ac:dyDescent="0.45">
      <c r="A634" s="1"/>
      <c r="B634" s="2"/>
    </row>
    <row r="635" spans="1:2" x14ac:dyDescent="0.45">
      <c r="A635" s="1"/>
      <c r="B635" s="2"/>
    </row>
    <row r="636" spans="1:2" x14ac:dyDescent="0.45">
      <c r="A636" s="1"/>
      <c r="B636" s="2"/>
    </row>
    <row r="637" spans="1:2" x14ac:dyDescent="0.45">
      <c r="A637" s="1"/>
      <c r="B637" s="2"/>
    </row>
    <row r="638" spans="1:2" x14ac:dyDescent="0.45">
      <c r="A638" s="1"/>
      <c r="B638" s="2"/>
    </row>
    <row r="639" spans="1:2" x14ac:dyDescent="0.45">
      <c r="A639" s="1"/>
      <c r="B639" s="2"/>
    </row>
    <row r="640" spans="1:2" x14ac:dyDescent="0.45">
      <c r="A640" s="1"/>
      <c r="B640" s="2"/>
    </row>
    <row r="641" spans="1:2" x14ac:dyDescent="0.45">
      <c r="A641" s="1"/>
      <c r="B641" s="2"/>
    </row>
    <row r="642" spans="1:2" x14ac:dyDescent="0.45">
      <c r="A642" s="1"/>
      <c r="B642" s="2"/>
    </row>
    <row r="643" spans="1:2" x14ac:dyDescent="0.45">
      <c r="A643" s="1"/>
      <c r="B643" s="2"/>
    </row>
    <row r="644" spans="1:2" x14ac:dyDescent="0.45">
      <c r="A644" s="1"/>
      <c r="B644" s="2"/>
    </row>
    <row r="645" spans="1:2" x14ac:dyDescent="0.45">
      <c r="A645" s="1"/>
      <c r="B645" s="2"/>
    </row>
    <row r="646" spans="1:2" x14ac:dyDescent="0.45">
      <c r="A646" s="1"/>
      <c r="B646" s="2"/>
    </row>
    <row r="647" spans="1:2" x14ac:dyDescent="0.45">
      <c r="A647" s="1"/>
      <c r="B647" s="2"/>
    </row>
    <row r="648" spans="1:2" x14ac:dyDescent="0.45">
      <c r="A648" s="1"/>
      <c r="B648" s="2"/>
    </row>
    <row r="649" spans="1:2" x14ac:dyDescent="0.45">
      <c r="A649" s="1"/>
      <c r="B649" s="2"/>
    </row>
    <row r="650" spans="1:2" x14ac:dyDescent="0.45">
      <c r="A650" s="1"/>
      <c r="B650" s="2"/>
    </row>
    <row r="651" spans="1:2" x14ac:dyDescent="0.45">
      <c r="A651" s="1"/>
      <c r="B651" s="2"/>
    </row>
    <row r="652" spans="1:2" x14ac:dyDescent="0.45">
      <c r="A652" s="1"/>
      <c r="B652" s="2"/>
    </row>
    <row r="653" spans="1:2" x14ac:dyDescent="0.45">
      <c r="A653" s="1"/>
      <c r="B653" s="2"/>
    </row>
    <row r="654" spans="1:2" x14ac:dyDescent="0.45">
      <c r="A654" s="1"/>
      <c r="B654" s="2"/>
    </row>
    <row r="655" spans="1:2" x14ac:dyDescent="0.45">
      <c r="A655" s="1"/>
      <c r="B655" s="2"/>
    </row>
    <row r="656" spans="1:2" x14ac:dyDescent="0.45">
      <c r="A656" s="1"/>
      <c r="B656" s="2"/>
    </row>
    <row r="657" spans="1:2" x14ac:dyDescent="0.45">
      <c r="A657" s="1"/>
      <c r="B657" s="2"/>
    </row>
    <row r="658" spans="1:2" x14ac:dyDescent="0.45">
      <c r="A658" s="1"/>
      <c r="B658" s="2"/>
    </row>
    <row r="659" spans="1:2" x14ac:dyDescent="0.45">
      <c r="A659" s="1"/>
      <c r="B659" s="2"/>
    </row>
    <row r="660" spans="1:2" x14ac:dyDescent="0.45">
      <c r="A660" s="1"/>
      <c r="B660" s="2"/>
    </row>
    <row r="661" spans="1:2" x14ac:dyDescent="0.45">
      <c r="A661" s="1"/>
      <c r="B661" s="2"/>
    </row>
    <row r="662" spans="1:2" x14ac:dyDescent="0.45">
      <c r="A662" s="1"/>
      <c r="B662" s="2"/>
    </row>
    <row r="663" spans="1:2" x14ac:dyDescent="0.45">
      <c r="A663" s="1"/>
      <c r="B663" s="2"/>
    </row>
    <row r="664" spans="1:2" x14ac:dyDescent="0.45">
      <c r="A664" s="1"/>
      <c r="B664" s="2"/>
    </row>
    <row r="665" spans="1:2" x14ac:dyDescent="0.45">
      <c r="A665" s="1"/>
      <c r="B665" s="2"/>
    </row>
    <row r="666" spans="1:2" x14ac:dyDescent="0.45">
      <c r="A666" s="1"/>
      <c r="B666" s="2"/>
    </row>
    <row r="667" spans="1:2" x14ac:dyDescent="0.45">
      <c r="A667" s="1"/>
      <c r="B667" s="2"/>
    </row>
    <row r="668" spans="1:2" x14ac:dyDescent="0.45">
      <c r="A668" s="1"/>
      <c r="B668" s="2"/>
    </row>
    <row r="669" spans="1:2" x14ac:dyDescent="0.45">
      <c r="A669" s="1"/>
      <c r="B669" s="2"/>
    </row>
    <row r="670" spans="1:2" x14ac:dyDescent="0.45">
      <c r="A670" s="1"/>
      <c r="B670" s="2"/>
    </row>
    <row r="671" spans="1:2" x14ac:dyDescent="0.45">
      <c r="A671" s="1"/>
      <c r="B671" s="2"/>
    </row>
    <row r="672" spans="1:2" x14ac:dyDescent="0.45">
      <c r="A672" s="1"/>
      <c r="B672" s="2"/>
    </row>
    <row r="673" spans="1:2" x14ac:dyDescent="0.45">
      <c r="A673" s="1"/>
      <c r="B673" s="2"/>
    </row>
    <row r="674" spans="1:2" x14ac:dyDescent="0.45">
      <c r="A674" s="1"/>
      <c r="B674" s="2"/>
    </row>
    <row r="675" spans="1:2" x14ac:dyDescent="0.45">
      <c r="A675" s="1"/>
      <c r="B675" s="2"/>
    </row>
    <row r="676" spans="1:2" x14ac:dyDescent="0.45">
      <c r="A676" s="1"/>
      <c r="B676" s="2"/>
    </row>
    <row r="677" spans="1:2" x14ac:dyDescent="0.45">
      <c r="A677" s="1"/>
      <c r="B677" s="2"/>
    </row>
    <row r="678" spans="1:2" x14ac:dyDescent="0.45">
      <c r="A678" s="1"/>
      <c r="B678" s="2"/>
    </row>
    <row r="679" spans="1:2" x14ac:dyDescent="0.45">
      <c r="A679" s="1"/>
      <c r="B679" s="2"/>
    </row>
    <row r="680" spans="1:2" x14ac:dyDescent="0.45">
      <c r="A680" s="1"/>
      <c r="B680" s="2"/>
    </row>
    <row r="681" spans="1:2" x14ac:dyDescent="0.45">
      <c r="A681" s="1"/>
      <c r="B681" s="2"/>
    </row>
    <row r="682" spans="1:2" x14ac:dyDescent="0.45">
      <c r="A682" s="1"/>
      <c r="B682" s="2"/>
    </row>
    <row r="683" spans="1:2" x14ac:dyDescent="0.45">
      <c r="A683" s="1"/>
      <c r="B683" s="2"/>
    </row>
    <row r="684" spans="1:2" x14ac:dyDescent="0.45">
      <c r="A684" s="1"/>
      <c r="B684" s="2"/>
    </row>
    <row r="685" spans="1:2" x14ac:dyDescent="0.45">
      <c r="A685" s="1"/>
      <c r="B685" s="2"/>
    </row>
    <row r="686" spans="1:2" x14ac:dyDescent="0.45">
      <c r="A686" s="1"/>
      <c r="B686" s="2"/>
    </row>
    <row r="687" spans="1:2" x14ac:dyDescent="0.45">
      <c r="A687" s="1"/>
      <c r="B687" s="2"/>
    </row>
    <row r="688" spans="1:2" x14ac:dyDescent="0.45">
      <c r="A688" s="1"/>
      <c r="B688" s="2"/>
    </row>
    <row r="689" spans="1:2" x14ac:dyDescent="0.45">
      <c r="A689" s="1"/>
      <c r="B689" s="2"/>
    </row>
    <row r="690" spans="1:2" x14ac:dyDescent="0.45">
      <c r="A690" s="1"/>
      <c r="B690" s="2"/>
    </row>
    <row r="691" spans="1:2" x14ac:dyDescent="0.45">
      <c r="A691" s="1"/>
      <c r="B691" s="2"/>
    </row>
    <row r="692" spans="1:2" x14ac:dyDescent="0.45">
      <c r="A692" s="1"/>
      <c r="B692" s="2"/>
    </row>
    <row r="693" spans="1:2" x14ac:dyDescent="0.45">
      <c r="A693" s="1"/>
      <c r="B693" s="2"/>
    </row>
    <row r="694" spans="1:2" x14ac:dyDescent="0.45">
      <c r="A694" s="1"/>
      <c r="B694" s="2"/>
    </row>
    <row r="695" spans="1:2" x14ac:dyDescent="0.45">
      <c r="A695" s="1"/>
      <c r="B695" s="2"/>
    </row>
    <row r="696" spans="1:2" x14ac:dyDescent="0.45">
      <c r="A696" s="1"/>
      <c r="B696" s="2"/>
    </row>
    <row r="697" spans="1:2" x14ac:dyDescent="0.45">
      <c r="A697" s="1"/>
      <c r="B697" s="2"/>
    </row>
    <row r="698" spans="1:2" x14ac:dyDescent="0.45">
      <c r="A698" s="1"/>
      <c r="B698" s="2"/>
    </row>
    <row r="699" spans="1:2" x14ac:dyDescent="0.45">
      <c r="A699" s="1"/>
      <c r="B699" s="2"/>
    </row>
    <row r="700" spans="1:2" x14ac:dyDescent="0.45">
      <c r="A700" s="1"/>
      <c r="B700" s="2"/>
    </row>
    <row r="701" spans="1:2" x14ac:dyDescent="0.45">
      <c r="A701" s="1"/>
      <c r="B701" s="2"/>
    </row>
    <row r="702" spans="1:2" x14ac:dyDescent="0.45">
      <c r="A702" s="1"/>
      <c r="B702" s="2"/>
    </row>
    <row r="703" spans="1:2" x14ac:dyDescent="0.45">
      <c r="A703" s="1"/>
      <c r="B703" s="2"/>
    </row>
    <row r="704" spans="1:2" x14ac:dyDescent="0.45">
      <c r="A704" s="1"/>
      <c r="B704" s="2"/>
    </row>
    <row r="705" spans="1:2" x14ac:dyDescent="0.45">
      <c r="A705" s="1"/>
      <c r="B705" s="2"/>
    </row>
    <row r="706" spans="1:2" x14ac:dyDescent="0.45">
      <c r="A706" s="1"/>
      <c r="B706" s="2"/>
    </row>
    <row r="707" spans="1:2" x14ac:dyDescent="0.45">
      <c r="A707" s="1"/>
      <c r="B707" s="2"/>
    </row>
    <row r="708" spans="1:2" x14ac:dyDescent="0.45">
      <c r="A708" s="1"/>
      <c r="B708" s="2"/>
    </row>
    <row r="709" spans="1:2" x14ac:dyDescent="0.45">
      <c r="A709" s="1"/>
      <c r="B709" s="2"/>
    </row>
    <row r="710" spans="1:2" x14ac:dyDescent="0.45">
      <c r="A710" s="1"/>
      <c r="B710" s="2"/>
    </row>
    <row r="711" spans="1:2" x14ac:dyDescent="0.45">
      <c r="A711" s="1"/>
      <c r="B711" s="2"/>
    </row>
    <row r="712" spans="1:2" x14ac:dyDescent="0.45">
      <c r="A712" s="1"/>
      <c r="B712" s="2"/>
    </row>
    <row r="713" spans="1:2" x14ac:dyDescent="0.45">
      <c r="A713" s="1"/>
      <c r="B713" s="2"/>
    </row>
    <row r="714" spans="1:2" x14ac:dyDescent="0.45">
      <c r="A714" s="1"/>
      <c r="B714" s="2"/>
    </row>
    <row r="715" spans="1:2" x14ac:dyDescent="0.45">
      <c r="A715" s="1"/>
      <c r="B715" s="2"/>
    </row>
    <row r="716" spans="1:2" x14ac:dyDescent="0.45">
      <c r="A716" s="1"/>
      <c r="B716" s="2"/>
    </row>
    <row r="717" spans="1:2" x14ac:dyDescent="0.45">
      <c r="A717" s="1"/>
      <c r="B717" s="2"/>
    </row>
    <row r="718" spans="1:2" x14ac:dyDescent="0.45">
      <c r="A718" s="1"/>
      <c r="B718" s="2"/>
    </row>
    <row r="719" spans="1:2" x14ac:dyDescent="0.45">
      <c r="A719" s="1"/>
      <c r="B719" s="2"/>
    </row>
    <row r="720" spans="1:2" x14ac:dyDescent="0.45">
      <c r="A720" s="1"/>
      <c r="B720" s="2"/>
    </row>
    <row r="721" spans="1:2" x14ac:dyDescent="0.45">
      <c r="A721" s="1"/>
      <c r="B721" s="2"/>
    </row>
    <row r="722" spans="1:2" x14ac:dyDescent="0.45">
      <c r="A722" s="1"/>
      <c r="B722" s="2"/>
    </row>
    <row r="723" spans="1:2" x14ac:dyDescent="0.45">
      <c r="A723" s="1"/>
      <c r="B723" s="2"/>
    </row>
    <row r="724" spans="1:2" x14ac:dyDescent="0.45">
      <c r="A724" s="1"/>
      <c r="B724" s="2"/>
    </row>
    <row r="725" spans="1:2" x14ac:dyDescent="0.45">
      <c r="A725" s="1"/>
      <c r="B725" s="2"/>
    </row>
    <row r="726" spans="1:2" x14ac:dyDescent="0.45">
      <c r="A726" s="1"/>
      <c r="B726" s="2"/>
    </row>
    <row r="727" spans="1:2" x14ac:dyDescent="0.45">
      <c r="A727" s="1"/>
      <c r="B727" s="2"/>
    </row>
    <row r="728" spans="1:2" x14ac:dyDescent="0.45">
      <c r="A728" s="1"/>
      <c r="B728" s="2"/>
    </row>
    <row r="729" spans="1:2" x14ac:dyDescent="0.45">
      <c r="A729" s="1"/>
      <c r="B729" s="2"/>
    </row>
    <row r="730" spans="1:2" x14ac:dyDescent="0.45">
      <c r="A730" s="1"/>
      <c r="B730" s="2"/>
    </row>
    <row r="731" spans="1:2" x14ac:dyDescent="0.45">
      <c r="A731" s="1"/>
      <c r="B731" s="2"/>
    </row>
    <row r="732" spans="1:2" x14ac:dyDescent="0.45">
      <c r="A732" s="1"/>
      <c r="B732" s="2"/>
    </row>
    <row r="733" spans="1:2" x14ac:dyDescent="0.45">
      <c r="A733" s="1"/>
      <c r="B733" s="2"/>
    </row>
    <row r="734" spans="1:2" x14ac:dyDescent="0.45">
      <c r="A734" s="1"/>
      <c r="B734" s="2"/>
    </row>
    <row r="735" spans="1:2" x14ac:dyDescent="0.45">
      <c r="A735" s="1"/>
      <c r="B735" s="2"/>
    </row>
    <row r="736" spans="1:2" x14ac:dyDescent="0.45">
      <c r="A736" s="1"/>
      <c r="B736" s="2"/>
    </row>
    <row r="737" spans="1:2" x14ac:dyDescent="0.45">
      <c r="A737" s="1"/>
      <c r="B737" s="2"/>
    </row>
    <row r="738" spans="1:2" x14ac:dyDescent="0.45">
      <c r="A738" s="1"/>
      <c r="B738" s="2"/>
    </row>
    <row r="739" spans="1:2" x14ac:dyDescent="0.45">
      <c r="A739" s="1"/>
      <c r="B739" s="2"/>
    </row>
    <row r="740" spans="1:2" x14ac:dyDescent="0.45">
      <c r="A740" s="1"/>
      <c r="B740" s="2"/>
    </row>
    <row r="741" spans="1:2" x14ac:dyDescent="0.45">
      <c r="A741" s="1"/>
      <c r="B741" s="2"/>
    </row>
    <row r="742" spans="1:2" x14ac:dyDescent="0.45">
      <c r="A742" s="1"/>
      <c r="B742" s="2"/>
    </row>
    <row r="743" spans="1:2" x14ac:dyDescent="0.45">
      <c r="A743" s="1"/>
      <c r="B743" s="2"/>
    </row>
    <row r="744" spans="1:2" x14ac:dyDescent="0.45">
      <c r="A744" s="1"/>
      <c r="B744" s="2"/>
    </row>
    <row r="745" spans="1:2" x14ac:dyDescent="0.45">
      <c r="A745" s="1"/>
      <c r="B745" s="2"/>
    </row>
    <row r="746" spans="1:2" x14ac:dyDescent="0.45">
      <c r="A746" s="1"/>
      <c r="B746" s="2"/>
    </row>
    <row r="747" spans="1:2" x14ac:dyDescent="0.45">
      <c r="A747" s="1"/>
      <c r="B747" s="2"/>
    </row>
    <row r="748" spans="1:2" x14ac:dyDescent="0.45">
      <c r="A748" s="1"/>
      <c r="B748" s="2"/>
    </row>
    <row r="749" spans="1:2" x14ac:dyDescent="0.45">
      <c r="A749" s="1"/>
      <c r="B749" s="2"/>
    </row>
    <row r="750" spans="1:2" x14ac:dyDescent="0.45">
      <c r="A750" s="1"/>
      <c r="B750" s="2"/>
    </row>
    <row r="751" spans="1:2" x14ac:dyDescent="0.45">
      <c r="A751" s="1"/>
      <c r="B751" s="2"/>
    </row>
    <row r="752" spans="1:2" x14ac:dyDescent="0.45">
      <c r="A752" s="1"/>
      <c r="B752" s="2"/>
    </row>
    <row r="753" spans="1:2" x14ac:dyDescent="0.45">
      <c r="A753" s="1"/>
      <c r="B753" s="2"/>
    </row>
    <row r="754" spans="1:2" x14ac:dyDescent="0.45">
      <c r="A754" s="1"/>
      <c r="B754" s="2"/>
    </row>
    <row r="755" spans="1:2" x14ac:dyDescent="0.45">
      <c r="A755" s="1"/>
      <c r="B755" s="2"/>
    </row>
    <row r="756" spans="1:2" x14ac:dyDescent="0.45">
      <c r="A756" s="1"/>
      <c r="B756" s="2"/>
    </row>
    <row r="757" spans="1:2" x14ac:dyDescent="0.45">
      <c r="A757" s="1"/>
      <c r="B757" s="2"/>
    </row>
    <row r="758" spans="1:2" x14ac:dyDescent="0.45">
      <c r="A758" s="1"/>
      <c r="B758" s="2"/>
    </row>
    <row r="759" spans="1:2" x14ac:dyDescent="0.45">
      <c r="A759" s="1"/>
      <c r="B759" s="2"/>
    </row>
    <row r="760" spans="1:2" x14ac:dyDescent="0.45">
      <c r="A760" s="1"/>
      <c r="B760" s="2"/>
    </row>
    <row r="761" spans="1:2" x14ac:dyDescent="0.45">
      <c r="A761" s="1"/>
      <c r="B761" s="2"/>
    </row>
    <row r="762" spans="1:2" x14ac:dyDescent="0.45">
      <c r="A762" s="1"/>
      <c r="B762" s="2"/>
    </row>
    <row r="763" spans="1:2" x14ac:dyDescent="0.45">
      <c r="A763" s="1"/>
      <c r="B763" s="2"/>
    </row>
    <row r="764" spans="1:2" x14ac:dyDescent="0.45">
      <c r="A764" s="1"/>
      <c r="B764" s="2"/>
    </row>
    <row r="765" spans="1:2" x14ac:dyDescent="0.45">
      <c r="A765" s="1"/>
      <c r="B765" s="2"/>
    </row>
    <row r="766" spans="1:2" x14ac:dyDescent="0.45">
      <c r="A766" s="1"/>
      <c r="B766" s="2"/>
    </row>
    <row r="767" spans="1:2" x14ac:dyDescent="0.45">
      <c r="A767" s="1"/>
      <c r="B767" s="2"/>
    </row>
    <row r="768" spans="1:2" x14ac:dyDescent="0.45">
      <c r="A768" s="1"/>
      <c r="B768" s="2"/>
    </row>
    <row r="769" spans="1:2" x14ac:dyDescent="0.45">
      <c r="A769" s="1"/>
      <c r="B769" s="2"/>
    </row>
    <row r="770" spans="1:2" x14ac:dyDescent="0.45">
      <c r="A770" s="1"/>
      <c r="B770" s="2"/>
    </row>
    <row r="771" spans="1:2" x14ac:dyDescent="0.45">
      <c r="A771" s="1"/>
      <c r="B771" s="2"/>
    </row>
    <row r="772" spans="1:2" x14ac:dyDescent="0.45">
      <c r="A772" s="1"/>
      <c r="B772" s="2"/>
    </row>
    <row r="773" spans="1:2" x14ac:dyDescent="0.45">
      <c r="A773" s="1"/>
      <c r="B773" s="2"/>
    </row>
    <row r="774" spans="1:2" x14ac:dyDescent="0.45">
      <c r="A774" s="1"/>
      <c r="B774" s="2"/>
    </row>
    <row r="775" spans="1:2" x14ac:dyDescent="0.45">
      <c r="A775" s="1"/>
      <c r="B775" s="2"/>
    </row>
    <row r="776" spans="1:2" x14ac:dyDescent="0.45">
      <c r="A776" s="1"/>
      <c r="B776" s="2"/>
    </row>
    <row r="777" spans="1:2" x14ac:dyDescent="0.45">
      <c r="A777" s="1"/>
      <c r="B777" s="2"/>
    </row>
    <row r="778" spans="1:2" x14ac:dyDescent="0.45">
      <c r="A778" s="1"/>
      <c r="B778" s="2"/>
    </row>
    <row r="779" spans="1:2" x14ac:dyDescent="0.45">
      <c r="A779" s="1"/>
      <c r="B779" s="2"/>
    </row>
    <row r="780" spans="1:2" x14ac:dyDescent="0.45">
      <c r="A780" s="1"/>
      <c r="B780" s="2"/>
    </row>
    <row r="781" spans="1:2" x14ac:dyDescent="0.45">
      <c r="A781" s="1"/>
      <c r="B781" s="2"/>
    </row>
    <row r="782" spans="1:2" x14ac:dyDescent="0.45">
      <c r="A782" s="1"/>
      <c r="B782" s="2"/>
    </row>
    <row r="783" spans="1:2" x14ac:dyDescent="0.45">
      <c r="A783" s="1"/>
      <c r="B783" s="2"/>
    </row>
    <row r="784" spans="1:2" x14ac:dyDescent="0.45">
      <c r="A784" s="1"/>
      <c r="B784" s="2"/>
    </row>
    <row r="785" spans="1:2" x14ac:dyDescent="0.45">
      <c r="A785" s="1"/>
      <c r="B785" s="2"/>
    </row>
    <row r="786" spans="1:2" x14ac:dyDescent="0.45">
      <c r="A786" s="1"/>
      <c r="B786" s="2"/>
    </row>
    <row r="787" spans="1:2" x14ac:dyDescent="0.45">
      <c r="A787" s="1"/>
      <c r="B787" s="2"/>
    </row>
    <row r="788" spans="1:2" x14ac:dyDescent="0.45">
      <c r="A788" s="1"/>
      <c r="B788" s="2"/>
    </row>
    <row r="789" spans="1:2" x14ac:dyDescent="0.45">
      <c r="A789" s="1"/>
      <c r="B789" s="2"/>
    </row>
    <row r="790" spans="1:2" x14ac:dyDescent="0.45">
      <c r="A790" s="1"/>
      <c r="B790" s="2"/>
    </row>
    <row r="791" spans="1:2" x14ac:dyDescent="0.45">
      <c r="A791" s="1"/>
      <c r="B791" s="2"/>
    </row>
    <row r="792" spans="1:2" x14ac:dyDescent="0.45">
      <c r="A792" s="1"/>
      <c r="B792" s="2"/>
    </row>
    <row r="793" spans="1:2" x14ac:dyDescent="0.45">
      <c r="A793" s="1"/>
      <c r="B793" s="2"/>
    </row>
    <row r="794" spans="1:2" x14ac:dyDescent="0.45">
      <c r="A794" s="1"/>
      <c r="B794" s="2"/>
    </row>
    <row r="795" spans="1:2" x14ac:dyDescent="0.45">
      <c r="A795" s="1"/>
      <c r="B795" s="2"/>
    </row>
    <row r="796" spans="1:2" x14ac:dyDescent="0.45">
      <c r="A796" s="1"/>
      <c r="B796" s="2"/>
    </row>
    <row r="797" spans="1:2" x14ac:dyDescent="0.45">
      <c r="A797" s="1"/>
      <c r="B797" s="2"/>
    </row>
    <row r="798" spans="1:2" x14ac:dyDescent="0.45">
      <c r="A798" s="1"/>
      <c r="B798" s="2"/>
    </row>
    <row r="799" spans="1:2" x14ac:dyDescent="0.45">
      <c r="A799" s="1"/>
      <c r="B799" s="2"/>
    </row>
    <row r="800" spans="1:2" x14ac:dyDescent="0.45">
      <c r="A800" s="1"/>
      <c r="B800" s="2"/>
    </row>
    <row r="801" spans="1:2" x14ac:dyDescent="0.45">
      <c r="A801" s="1"/>
      <c r="B801" s="2"/>
    </row>
    <row r="802" spans="1:2" x14ac:dyDescent="0.45">
      <c r="A802" s="1"/>
      <c r="B802" s="2"/>
    </row>
    <row r="803" spans="1:2" x14ac:dyDescent="0.45">
      <c r="A803" s="1"/>
      <c r="B803" s="2"/>
    </row>
    <row r="804" spans="1:2" x14ac:dyDescent="0.45">
      <c r="A804" s="1"/>
      <c r="B804" s="2"/>
    </row>
    <row r="805" spans="1:2" x14ac:dyDescent="0.45">
      <c r="A805" s="1"/>
      <c r="B805" s="2"/>
    </row>
    <row r="806" spans="1:2" x14ac:dyDescent="0.45">
      <c r="A806" s="1"/>
      <c r="B806" s="2"/>
    </row>
    <row r="807" spans="1:2" x14ac:dyDescent="0.45">
      <c r="A807" s="1"/>
      <c r="B807" s="2"/>
    </row>
    <row r="808" spans="1:2" x14ac:dyDescent="0.45">
      <c r="A808" s="1"/>
      <c r="B808" s="2"/>
    </row>
    <row r="809" spans="1:2" x14ac:dyDescent="0.45">
      <c r="A809" s="1"/>
      <c r="B809" s="2"/>
    </row>
    <row r="810" spans="1:2" x14ac:dyDescent="0.45">
      <c r="A810" s="1"/>
      <c r="B810" s="2"/>
    </row>
    <row r="811" spans="1:2" x14ac:dyDescent="0.45">
      <c r="A811" s="1"/>
      <c r="B811" s="2"/>
    </row>
    <row r="812" spans="1:2" x14ac:dyDescent="0.45">
      <c r="A812" s="1"/>
      <c r="B812" s="2"/>
    </row>
    <row r="813" spans="1:2" x14ac:dyDescent="0.45">
      <c r="A813" s="1"/>
      <c r="B813" s="2"/>
    </row>
    <row r="814" spans="1:2" x14ac:dyDescent="0.45">
      <c r="A814" s="1"/>
      <c r="B814" s="2"/>
    </row>
    <row r="815" spans="1:2" x14ac:dyDescent="0.45">
      <c r="A815" s="1"/>
      <c r="B815" s="2"/>
    </row>
    <row r="816" spans="1:2" x14ac:dyDescent="0.45">
      <c r="A816" s="1"/>
      <c r="B816" s="2"/>
    </row>
    <row r="817" spans="1:2" x14ac:dyDescent="0.45">
      <c r="A817" s="1"/>
      <c r="B817" s="2"/>
    </row>
    <row r="818" spans="1:2" x14ac:dyDescent="0.45">
      <c r="A818" s="1"/>
      <c r="B818" s="2"/>
    </row>
    <row r="819" spans="1:2" x14ac:dyDescent="0.45">
      <c r="A819" s="1"/>
      <c r="B819" s="2"/>
    </row>
    <row r="820" spans="1:2" x14ac:dyDescent="0.45">
      <c r="A820" s="1"/>
      <c r="B820" s="2"/>
    </row>
    <row r="821" spans="1:2" x14ac:dyDescent="0.45">
      <c r="A821" s="1"/>
      <c r="B821" s="2"/>
    </row>
    <row r="822" spans="1:2" x14ac:dyDescent="0.45">
      <c r="A822" s="1"/>
      <c r="B822" s="2"/>
    </row>
    <row r="823" spans="1:2" x14ac:dyDescent="0.45">
      <c r="A823" s="1"/>
      <c r="B823" s="2"/>
    </row>
    <row r="824" spans="1:2" x14ac:dyDescent="0.45">
      <c r="A824" s="1"/>
      <c r="B824" s="2"/>
    </row>
    <row r="825" spans="1:2" x14ac:dyDescent="0.45">
      <c r="A825" s="1"/>
      <c r="B825" s="2"/>
    </row>
    <row r="826" spans="1:2" x14ac:dyDescent="0.45">
      <c r="A826" s="1"/>
      <c r="B826" s="2"/>
    </row>
    <row r="827" spans="1:2" x14ac:dyDescent="0.45">
      <c r="A827" s="1"/>
      <c r="B827" s="2"/>
    </row>
    <row r="828" spans="1:2" x14ac:dyDescent="0.45">
      <c r="A828" s="1"/>
      <c r="B828" s="2"/>
    </row>
    <row r="829" spans="1:2" x14ac:dyDescent="0.45">
      <c r="A829" s="1"/>
      <c r="B829" s="2"/>
    </row>
    <row r="830" spans="1:2" x14ac:dyDescent="0.45">
      <c r="A830" s="1"/>
      <c r="B830" s="2"/>
    </row>
    <row r="831" spans="1:2" x14ac:dyDescent="0.45">
      <c r="A831" s="1"/>
      <c r="B831" s="2"/>
    </row>
    <row r="832" spans="1:2" x14ac:dyDescent="0.45">
      <c r="A832" s="1"/>
      <c r="B832" s="2"/>
    </row>
    <row r="833" spans="1:2" x14ac:dyDescent="0.45">
      <c r="A833" s="1"/>
      <c r="B833" s="2"/>
    </row>
    <row r="834" spans="1:2" x14ac:dyDescent="0.45">
      <c r="A834" s="1"/>
      <c r="B834" s="2"/>
    </row>
    <row r="835" spans="1:2" x14ac:dyDescent="0.45">
      <c r="A835" s="1"/>
      <c r="B835" s="2"/>
    </row>
    <row r="836" spans="1:2" x14ac:dyDescent="0.45">
      <c r="A836" s="1"/>
      <c r="B836" s="2"/>
    </row>
    <row r="837" spans="1:2" x14ac:dyDescent="0.45">
      <c r="A837" s="1"/>
      <c r="B837" s="2"/>
    </row>
    <row r="838" spans="1:2" x14ac:dyDescent="0.45">
      <c r="A838" s="1"/>
      <c r="B838" s="2"/>
    </row>
    <row r="839" spans="1:2" x14ac:dyDescent="0.45">
      <c r="A839" s="1"/>
      <c r="B839" s="2"/>
    </row>
    <row r="840" spans="1:2" x14ac:dyDescent="0.45">
      <c r="A840" s="1"/>
      <c r="B840" s="2"/>
    </row>
    <row r="841" spans="1:2" x14ac:dyDescent="0.45">
      <c r="A841" s="1"/>
      <c r="B841" s="2"/>
    </row>
    <row r="842" spans="1:2" x14ac:dyDescent="0.45">
      <c r="A842" s="1"/>
      <c r="B842" s="2"/>
    </row>
    <row r="843" spans="1:2" x14ac:dyDescent="0.45">
      <c r="A843" s="1"/>
      <c r="B843" s="2"/>
    </row>
    <row r="844" spans="1:2" x14ac:dyDescent="0.45">
      <c r="A844" s="1"/>
      <c r="B844" s="2"/>
    </row>
    <row r="845" spans="1:2" x14ac:dyDescent="0.45">
      <c r="A845" s="1"/>
      <c r="B845" s="2"/>
    </row>
    <row r="846" spans="1:2" x14ac:dyDescent="0.45">
      <c r="A846" s="1"/>
      <c r="B846" s="2"/>
    </row>
    <row r="847" spans="1:2" x14ac:dyDescent="0.45">
      <c r="A847" s="1"/>
      <c r="B847" s="2"/>
    </row>
    <row r="848" spans="1:2" x14ac:dyDescent="0.45">
      <c r="A848" s="1"/>
      <c r="B848" s="2"/>
    </row>
    <row r="849" spans="1:2" x14ac:dyDescent="0.45">
      <c r="A849" s="1"/>
      <c r="B849" s="2"/>
    </row>
    <row r="850" spans="1:2" x14ac:dyDescent="0.45">
      <c r="A850" s="1"/>
      <c r="B850" s="2"/>
    </row>
    <row r="851" spans="1:2" x14ac:dyDescent="0.45">
      <c r="A851" s="1"/>
      <c r="B851" s="2"/>
    </row>
    <row r="852" spans="1:2" x14ac:dyDescent="0.45">
      <c r="A852" s="1"/>
      <c r="B852" s="2"/>
    </row>
    <row r="853" spans="1:2" x14ac:dyDescent="0.45">
      <c r="A853" s="1"/>
      <c r="B853" s="2"/>
    </row>
    <row r="854" spans="1:2" x14ac:dyDescent="0.45">
      <c r="A854" s="1"/>
      <c r="B854" s="2"/>
    </row>
    <row r="855" spans="1:2" x14ac:dyDescent="0.45">
      <c r="A855" s="1"/>
      <c r="B855" s="2"/>
    </row>
    <row r="856" spans="1:2" x14ac:dyDescent="0.45">
      <c r="A856" s="1"/>
      <c r="B856" s="2"/>
    </row>
    <row r="857" spans="1:2" x14ac:dyDescent="0.45">
      <c r="A857" s="1"/>
      <c r="B857" s="2"/>
    </row>
    <row r="858" spans="1:2" x14ac:dyDescent="0.45">
      <c r="A858" s="1"/>
      <c r="B858" s="2"/>
    </row>
    <row r="859" spans="1:2" x14ac:dyDescent="0.45">
      <c r="A859" s="1"/>
      <c r="B859" s="2"/>
    </row>
    <row r="860" spans="1:2" x14ac:dyDescent="0.45">
      <c r="A860" s="1"/>
      <c r="B860" s="2"/>
    </row>
    <row r="861" spans="1:2" x14ac:dyDescent="0.45">
      <c r="A861" s="1"/>
      <c r="B861" s="2"/>
    </row>
    <row r="862" spans="1:2" x14ac:dyDescent="0.45">
      <c r="A862" s="1"/>
      <c r="B862" s="2"/>
    </row>
    <row r="863" spans="1:2" x14ac:dyDescent="0.45">
      <c r="A863" s="1"/>
      <c r="B863" s="2"/>
    </row>
    <row r="864" spans="1:2" x14ac:dyDescent="0.45">
      <c r="A864" s="1"/>
      <c r="B864" s="2"/>
    </row>
    <row r="865" spans="1:2" x14ac:dyDescent="0.45">
      <c r="A865" s="1"/>
      <c r="B865" s="2"/>
    </row>
    <row r="866" spans="1:2" x14ac:dyDescent="0.45">
      <c r="A866" s="1"/>
      <c r="B866" s="2"/>
    </row>
    <row r="867" spans="1:2" x14ac:dyDescent="0.45">
      <c r="A867" s="1"/>
      <c r="B867" s="2"/>
    </row>
    <row r="868" spans="1:2" x14ac:dyDescent="0.45">
      <c r="A868" s="1"/>
      <c r="B868" s="2"/>
    </row>
    <row r="869" spans="1:2" x14ac:dyDescent="0.45">
      <c r="A869" s="1"/>
      <c r="B869" s="2"/>
    </row>
    <row r="870" spans="1:2" x14ac:dyDescent="0.45">
      <c r="A870" s="1"/>
      <c r="B870" s="2"/>
    </row>
    <row r="871" spans="1:2" x14ac:dyDescent="0.45">
      <c r="A871" s="1"/>
      <c r="B871" s="2"/>
    </row>
    <row r="872" spans="1:2" x14ac:dyDescent="0.45">
      <c r="A872" s="1"/>
      <c r="B872" s="2"/>
    </row>
    <row r="873" spans="1:2" x14ac:dyDescent="0.45">
      <c r="A873" s="1"/>
      <c r="B873" s="2"/>
    </row>
    <row r="874" spans="1:2" x14ac:dyDescent="0.45">
      <c r="A874" s="1"/>
      <c r="B874" s="2"/>
    </row>
    <row r="875" spans="1:2" x14ac:dyDescent="0.45">
      <c r="A875" s="1"/>
      <c r="B875" s="2"/>
    </row>
    <row r="876" spans="1:2" x14ac:dyDescent="0.45">
      <c r="A876" s="1"/>
      <c r="B876" s="2"/>
    </row>
    <row r="877" spans="1:2" x14ac:dyDescent="0.45">
      <c r="A877" s="1"/>
      <c r="B877" s="2"/>
    </row>
    <row r="878" spans="1:2" x14ac:dyDescent="0.45">
      <c r="A878" s="1"/>
      <c r="B878" s="2"/>
    </row>
    <row r="879" spans="1:2" x14ac:dyDescent="0.45">
      <c r="A879" s="1"/>
      <c r="B879" s="2"/>
    </row>
    <row r="880" spans="1:2" x14ac:dyDescent="0.45">
      <c r="A880" s="1"/>
      <c r="B880" s="2"/>
    </row>
    <row r="881" spans="1:2" x14ac:dyDescent="0.45">
      <c r="A881" s="1"/>
      <c r="B881" s="2"/>
    </row>
    <row r="882" spans="1:2" x14ac:dyDescent="0.45">
      <c r="A882" s="1"/>
      <c r="B882" s="2"/>
    </row>
    <row r="883" spans="1:2" x14ac:dyDescent="0.45">
      <c r="A883" s="1"/>
      <c r="B883" s="2"/>
    </row>
    <row r="884" spans="1:2" x14ac:dyDescent="0.45">
      <c r="A884" s="1"/>
      <c r="B884" s="2"/>
    </row>
    <row r="885" spans="1:2" x14ac:dyDescent="0.45">
      <c r="A885" s="1"/>
      <c r="B885" s="2"/>
    </row>
    <row r="886" spans="1:2" x14ac:dyDescent="0.45">
      <c r="A886" s="1"/>
      <c r="B886" s="2"/>
    </row>
    <row r="887" spans="1:2" x14ac:dyDescent="0.45">
      <c r="A887" s="1"/>
      <c r="B887" s="2"/>
    </row>
    <row r="888" spans="1:2" x14ac:dyDescent="0.45">
      <c r="A888" s="1"/>
      <c r="B888" s="2"/>
    </row>
    <row r="889" spans="1:2" x14ac:dyDescent="0.45">
      <c r="A889" s="1"/>
      <c r="B889" s="2"/>
    </row>
    <row r="890" spans="1:2" x14ac:dyDescent="0.45">
      <c r="A890" s="1"/>
      <c r="B890" s="2"/>
    </row>
    <row r="891" spans="1:2" x14ac:dyDescent="0.45">
      <c r="A891" s="1"/>
      <c r="B891" s="2"/>
    </row>
    <row r="892" spans="1:2" x14ac:dyDescent="0.45">
      <c r="A892" s="1"/>
      <c r="B892" s="2"/>
    </row>
    <row r="893" spans="1:2" x14ac:dyDescent="0.45">
      <c r="A893" s="1"/>
      <c r="B893" s="2"/>
    </row>
    <row r="894" spans="1:2" x14ac:dyDescent="0.45">
      <c r="A894" s="1"/>
      <c r="B894" s="2"/>
    </row>
    <row r="895" spans="1:2" x14ac:dyDescent="0.45">
      <c r="A895" s="1"/>
      <c r="B895" s="2"/>
    </row>
    <row r="896" spans="1:2" x14ac:dyDescent="0.45">
      <c r="A896" s="1"/>
      <c r="B896" s="2"/>
    </row>
    <row r="897" spans="1:2" x14ac:dyDescent="0.45">
      <c r="A897" s="1"/>
      <c r="B897" s="2"/>
    </row>
    <row r="898" spans="1:2" x14ac:dyDescent="0.45">
      <c r="A898" s="1"/>
      <c r="B898" s="2"/>
    </row>
    <row r="899" spans="1:2" x14ac:dyDescent="0.45">
      <c r="A899" s="1"/>
      <c r="B899" s="2"/>
    </row>
    <row r="900" spans="1:2" x14ac:dyDescent="0.45">
      <c r="A900" s="1"/>
      <c r="B900" s="2"/>
    </row>
    <row r="901" spans="1:2" x14ac:dyDescent="0.45">
      <c r="A901" s="1"/>
      <c r="B901" s="2"/>
    </row>
    <row r="902" spans="1:2" x14ac:dyDescent="0.45">
      <c r="A902" s="1"/>
      <c r="B902" s="2"/>
    </row>
    <row r="903" spans="1:2" x14ac:dyDescent="0.45">
      <c r="A903" s="1"/>
      <c r="B903" s="2"/>
    </row>
    <row r="904" spans="1:2" x14ac:dyDescent="0.45">
      <c r="A904" s="1"/>
      <c r="B904" s="2"/>
    </row>
    <row r="905" spans="1:2" x14ac:dyDescent="0.45">
      <c r="A905" s="1"/>
      <c r="B905" s="2"/>
    </row>
    <row r="906" spans="1:2" x14ac:dyDescent="0.45">
      <c r="A906" s="1"/>
      <c r="B906" s="2"/>
    </row>
    <row r="907" spans="1:2" x14ac:dyDescent="0.45">
      <c r="A907" s="1"/>
      <c r="B907" s="2"/>
    </row>
    <row r="908" spans="1:2" x14ac:dyDescent="0.45">
      <c r="A908" s="1"/>
      <c r="B908" s="2"/>
    </row>
    <row r="909" spans="1:2" x14ac:dyDescent="0.45">
      <c r="A909" s="1"/>
      <c r="B909" s="2"/>
    </row>
    <row r="910" spans="1:2" x14ac:dyDescent="0.45">
      <c r="A910" s="1"/>
      <c r="B910" s="2"/>
    </row>
    <row r="911" spans="1:2" x14ac:dyDescent="0.45">
      <c r="A911" s="1"/>
      <c r="B911" s="2"/>
    </row>
    <row r="912" spans="1:2" x14ac:dyDescent="0.45">
      <c r="A912" s="1"/>
      <c r="B912" s="2"/>
    </row>
    <row r="913" spans="1:2" x14ac:dyDescent="0.45">
      <c r="A913" s="1"/>
      <c r="B913" s="2"/>
    </row>
    <row r="914" spans="1:2" x14ac:dyDescent="0.45">
      <c r="A914" s="1"/>
      <c r="B914" s="2"/>
    </row>
    <row r="915" spans="1:2" x14ac:dyDescent="0.45">
      <c r="A915" s="1"/>
      <c r="B915" s="2"/>
    </row>
    <row r="916" spans="1:2" x14ac:dyDescent="0.45">
      <c r="A916" s="1"/>
      <c r="B916" s="2"/>
    </row>
    <row r="917" spans="1:2" x14ac:dyDescent="0.45">
      <c r="A917" s="1"/>
      <c r="B917" s="2"/>
    </row>
    <row r="918" spans="1:2" x14ac:dyDescent="0.45">
      <c r="A918" s="1"/>
      <c r="B918" s="2"/>
    </row>
    <row r="919" spans="1:2" x14ac:dyDescent="0.45">
      <c r="A919" s="1"/>
      <c r="B919" s="2"/>
    </row>
    <row r="920" spans="1:2" x14ac:dyDescent="0.45">
      <c r="A920" s="1"/>
      <c r="B920" s="2"/>
    </row>
    <row r="921" spans="1:2" x14ac:dyDescent="0.45">
      <c r="A921" s="1"/>
      <c r="B921" s="2"/>
    </row>
    <row r="922" spans="1:2" x14ac:dyDescent="0.45">
      <c r="A922" s="1"/>
      <c r="B922" s="2"/>
    </row>
    <row r="923" spans="1:2" x14ac:dyDescent="0.45">
      <c r="A923" s="1"/>
      <c r="B923" s="2"/>
    </row>
    <row r="924" spans="1:2" x14ac:dyDescent="0.45">
      <c r="A924" s="1"/>
      <c r="B924" s="2"/>
    </row>
    <row r="925" spans="1:2" x14ac:dyDescent="0.45">
      <c r="A925" s="1"/>
      <c r="B925" s="2"/>
    </row>
    <row r="926" spans="1:2" x14ac:dyDescent="0.45">
      <c r="A926" s="1"/>
      <c r="B926" s="2"/>
    </row>
    <row r="927" spans="1:2" x14ac:dyDescent="0.45">
      <c r="A927" s="1"/>
      <c r="B927" s="2"/>
    </row>
    <row r="928" spans="1:2" x14ac:dyDescent="0.45">
      <c r="A928" s="1"/>
      <c r="B928" s="2"/>
    </row>
    <row r="929" spans="1:2" x14ac:dyDescent="0.45">
      <c r="A929" s="1"/>
      <c r="B929" s="2"/>
    </row>
    <row r="930" spans="1:2" x14ac:dyDescent="0.45">
      <c r="A930" s="1"/>
      <c r="B930" s="2"/>
    </row>
    <row r="931" spans="1:2" x14ac:dyDescent="0.45">
      <c r="A931" s="1"/>
      <c r="B931" s="2"/>
    </row>
    <row r="932" spans="1:2" x14ac:dyDescent="0.45">
      <c r="A932" s="1"/>
      <c r="B932" s="2"/>
    </row>
    <row r="933" spans="1:2" x14ac:dyDescent="0.45">
      <c r="A933" s="1"/>
      <c r="B933" s="2"/>
    </row>
    <row r="934" spans="1:2" x14ac:dyDescent="0.45">
      <c r="A934" s="1"/>
      <c r="B934" s="2"/>
    </row>
    <row r="935" spans="1:2" x14ac:dyDescent="0.45">
      <c r="A935" s="1"/>
      <c r="B935" s="2"/>
    </row>
    <row r="936" spans="1:2" x14ac:dyDescent="0.45">
      <c r="A936" s="1"/>
      <c r="B936" s="2"/>
    </row>
    <row r="937" spans="1:2" x14ac:dyDescent="0.45">
      <c r="A937" s="1"/>
      <c r="B937" s="2"/>
    </row>
    <row r="938" spans="1:2" x14ac:dyDescent="0.45">
      <c r="A938" s="1"/>
      <c r="B938" s="2"/>
    </row>
    <row r="939" spans="1:2" x14ac:dyDescent="0.45">
      <c r="A939" s="1"/>
      <c r="B939" s="2"/>
    </row>
    <row r="940" spans="1:2" x14ac:dyDescent="0.45">
      <c r="A940" s="1"/>
      <c r="B940" s="2"/>
    </row>
    <row r="941" spans="1:2" x14ac:dyDescent="0.45">
      <c r="A941" s="1"/>
      <c r="B941" s="2"/>
    </row>
    <row r="942" spans="1:2" x14ac:dyDescent="0.45">
      <c r="A942" s="1"/>
      <c r="B942" s="2"/>
    </row>
    <row r="943" spans="1:2" x14ac:dyDescent="0.45">
      <c r="A943" s="1"/>
      <c r="B943" s="2"/>
    </row>
    <row r="944" spans="1:2" x14ac:dyDescent="0.45">
      <c r="A944" s="1"/>
      <c r="B944" s="2"/>
    </row>
    <row r="945" spans="1:2" x14ac:dyDescent="0.45">
      <c r="A945" s="1"/>
      <c r="B945" s="2"/>
    </row>
    <row r="946" spans="1:2" x14ac:dyDescent="0.45">
      <c r="A946" s="1"/>
      <c r="B946" s="2"/>
    </row>
    <row r="947" spans="1:2" x14ac:dyDescent="0.45">
      <c r="A947" s="1"/>
      <c r="B947" s="2"/>
    </row>
    <row r="948" spans="1:2" x14ac:dyDescent="0.45">
      <c r="A948" s="1"/>
      <c r="B948" s="2"/>
    </row>
    <row r="949" spans="1:2" x14ac:dyDescent="0.45">
      <c r="A949" s="1"/>
      <c r="B949" s="2"/>
    </row>
    <row r="950" spans="1:2" x14ac:dyDescent="0.45">
      <c r="A950" s="1"/>
      <c r="B950" s="2"/>
    </row>
    <row r="951" spans="1:2" x14ac:dyDescent="0.45">
      <c r="A951" s="1"/>
      <c r="B951" s="2"/>
    </row>
    <row r="952" spans="1:2" x14ac:dyDescent="0.45">
      <c r="A952" s="1"/>
      <c r="B952" s="2"/>
    </row>
    <row r="953" spans="1:2" x14ac:dyDescent="0.45">
      <c r="A953" s="1"/>
      <c r="B953" s="2"/>
    </row>
    <row r="954" spans="1:2" x14ac:dyDescent="0.45">
      <c r="A954" s="1"/>
      <c r="B954" s="2"/>
    </row>
    <row r="955" spans="1:2" x14ac:dyDescent="0.45">
      <c r="A955" s="1"/>
      <c r="B955" s="2"/>
    </row>
    <row r="956" spans="1:2" x14ac:dyDescent="0.45">
      <c r="A956" s="1"/>
      <c r="B956" s="2"/>
    </row>
    <row r="957" spans="1:2" x14ac:dyDescent="0.45">
      <c r="A957" s="1"/>
      <c r="B957" s="2"/>
    </row>
    <row r="958" spans="1:2" x14ac:dyDescent="0.45">
      <c r="A958" s="1"/>
      <c r="B958" s="2"/>
    </row>
    <row r="959" spans="1:2" x14ac:dyDescent="0.45">
      <c r="A959" s="1"/>
      <c r="B959" s="2"/>
    </row>
    <row r="960" spans="1:2" x14ac:dyDescent="0.45">
      <c r="A960" s="1"/>
      <c r="B960" s="2"/>
    </row>
    <row r="961" spans="1:2" x14ac:dyDescent="0.45">
      <c r="A961" s="1"/>
      <c r="B961" s="2"/>
    </row>
    <row r="962" spans="1:2" x14ac:dyDescent="0.45">
      <c r="A962" s="1"/>
      <c r="B962" s="2"/>
    </row>
    <row r="963" spans="1:2" x14ac:dyDescent="0.45">
      <c r="A963" s="1"/>
      <c r="B963" s="2"/>
    </row>
    <row r="964" spans="1:2" x14ac:dyDescent="0.45">
      <c r="A964" s="1"/>
      <c r="B964" s="2"/>
    </row>
    <row r="965" spans="1:2" x14ac:dyDescent="0.45">
      <c r="A965" s="1"/>
      <c r="B965" s="2"/>
    </row>
    <row r="966" spans="1:2" x14ac:dyDescent="0.45">
      <c r="A966" s="1"/>
      <c r="B966" s="2"/>
    </row>
    <row r="967" spans="1:2" x14ac:dyDescent="0.45">
      <c r="A967" s="1"/>
      <c r="B967" s="2"/>
    </row>
    <row r="968" spans="1:2" x14ac:dyDescent="0.45">
      <c r="A968" s="1"/>
      <c r="B968" s="2"/>
    </row>
    <row r="969" spans="1:2" x14ac:dyDescent="0.45">
      <c r="A969" s="1"/>
      <c r="B969" s="2"/>
    </row>
    <row r="970" spans="1:2" x14ac:dyDescent="0.45">
      <c r="A970" s="1"/>
      <c r="B970" s="2"/>
    </row>
    <row r="971" spans="1:2" x14ac:dyDescent="0.45">
      <c r="A971" s="1"/>
      <c r="B971" s="2"/>
    </row>
    <row r="972" spans="1:2" x14ac:dyDescent="0.45">
      <c r="A972" s="1"/>
      <c r="B972" s="2"/>
    </row>
    <row r="973" spans="1:2" x14ac:dyDescent="0.45">
      <c r="A973" s="1"/>
      <c r="B973" s="2"/>
    </row>
    <row r="974" spans="1:2" x14ac:dyDescent="0.45">
      <c r="A974" s="1"/>
      <c r="B974" s="2"/>
    </row>
    <row r="975" spans="1:2" x14ac:dyDescent="0.45">
      <c r="A975" s="1"/>
      <c r="B975" s="2"/>
    </row>
    <row r="976" spans="1:2" x14ac:dyDescent="0.45">
      <c r="A976" s="1"/>
      <c r="B976" s="2"/>
    </row>
    <row r="977" spans="1:2" x14ac:dyDescent="0.45">
      <c r="A977" s="1"/>
      <c r="B977" s="2"/>
    </row>
    <row r="978" spans="1:2" x14ac:dyDescent="0.45">
      <c r="A978" s="1"/>
      <c r="B978" s="2"/>
    </row>
    <row r="979" spans="1:2" x14ac:dyDescent="0.45">
      <c r="A979" s="1"/>
      <c r="B979" s="2"/>
    </row>
    <row r="980" spans="1:2" x14ac:dyDescent="0.45">
      <c r="A980" s="1"/>
      <c r="B980" s="2"/>
    </row>
    <row r="981" spans="1:2" x14ac:dyDescent="0.45">
      <c r="A981" s="1"/>
      <c r="B981" s="2"/>
    </row>
    <row r="982" spans="1:2" x14ac:dyDescent="0.45">
      <c r="A982" s="1"/>
      <c r="B982" s="2"/>
    </row>
    <row r="983" spans="1:2" x14ac:dyDescent="0.45">
      <c r="A983" s="1"/>
      <c r="B983" s="2"/>
    </row>
    <row r="984" spans="1:2" x14ac:dyDescent="0.45">
      <c r="A984" s="1"/>
      <c r="B984" s="2"/>
    </row>
    <row r="985" spans="1:2" x14ac:dyDescent="0.45">
      <c r="A985" s="1"/>
      <c r="B985" s="2"/>
    </row>
    <row r="986" spans="1:2" x14ac:dyDescent="0.45">
      <c r="A986" s="1"/>
      <c r="B986" s="2"/>
    </row>
    <row r="987" spans="1:2" x14ac:dyDescent="0.45">
      <c r="A987" s="1"/>
      <c r="B987" s="2"/>
    </row>
    <row r="988" spans="1:2" x14ac:dyDescent="0.45">
      <c r="A988" s="1"/>
      <c r="B988" s="2"/>
    </row>
    <row r="989" spans="1:2" x14ac:dyDescent="0.45">
      <c r="A989" s="1"/>
      <c r="B989" s="2"/>
    </row>
    <row r="990" spans="1:2" x14ac:dyDescent="0.45">
      <c r="A990" s="1"/>
      <c r="B990" s="2"/>
    </row>
    <row r="991" spans="1:2" x14ac:dyDescent="0.45">
      <c r="A991" s="1"/>
      <c r="B991" s="2"/>
    </row>
    <row r="992" spans="1:2" x14ac:dyDescent="0.45">
      <c r="A992" s="1"/>
      <c r="B992" s="2"/>
    </row>
    <row r="993" spans="1:2" x14ac:dyDescent="0.45">
      <c r="A993" s="1"/>
      <c r="B993" s="2"/>
    </row>
    <row r="994" spans="1:2" x14ac:dyDescent="0.45">
      <c r="A994" s="1"/>
      <c r="B994" s="2"/>
    </row>
    <row r="995" spans="1:2" x14ac:dyDescent="0.45">
      <c r="A995" s="1"/>
      <c r="B995" s="2"/>
    </row>
    <row r="996" spans="1:2" x14ac:dyDescent="0.45">
      <c r="A996" s="1"/>
      <c r="B996" s="2"/>
    </row>
    <row r="997" spans="1:2" x14ac:dyDescent="0.45">
      <c r="A997" s="1"/>
      <c r="B997" s="2"/>
    </row>
    <row r="998" spans="1:2" x14ac:dyDescent="0.45">
      <c r="A998" s="1"/>
      <c r="B998" s="2"/>
    </row>
    <row r="999" spans="1:2" x14ac:dyDescent="0.45">
      <c r="A999" s="1"/>
      <c r="B999" s="2"/>
    </row>
    <row r="1000" spans="1:2" x14ac:dyDescent="0.45">
      <c r="A1000" s="1"/>
      <c r="B1000" s="2"/>
    </row>
    <row r="1001" spans="1:2" x14ac:dyDescent="0.45">
      <c r="A1001" s="1"/>
      <c r="B1001" s="2"/>
    </row>
    <row r="1002" spans="1:2" x14ac:dyDescent="0.45">
      <c r="A1002" s="1"/>
      <c r="B1002" s="2"/>
    </row>
    <row r="1003" spans="1:2" x14ac:dyDescent="0.45">
      <c r="A1003" s="1"/>
      <c r="B1003" s="2"/>
    </row>
    <row r="1004" spans="1:2" x14ac:dyDescent="0.45">
      <c r="A1004" s="1"/>
      <c r="B1004" s="2"/>
    </row>
    <row r="1005" spans="1:2" x14ac:dyDescent="0.45">
      <c r="A1005" s="1"/>
      <c r="B1005" s="2"/>
    </row>
    <row r="1006" spans="1:2" x14ac:dyDescent="0.45">
      <c r="A1006" s="1"/>
      <c r="B1006" s="2"/>
    </row>
    <row r="1007" spans="1:2" x14ac:dyDescent="0.45">
      <c r="A1007" s="1"/>
      <c r="B1007" s="2"/>
    </row>
    <row r="1008" spans="1:2" x14ac:dyDescent="0.45">
      <c r="A1008" s="1"/>
      <c r="B1008" s="2"/>
    </row>
    <row r="1009" spans="1:2" x14ac:dyDescent="0.45">
      <c r="A1009" s="1"/>
      <c r="B1009" s="2"/>
    </row>
    <row r="1010" spans="1:2" x14ac:dyDescent="0.45">
      <c r="A1010" s="1"/>
      <c r="B1010" s="2"/>
    </row>
    <row r="1011" spans="1:2" x14ac:dyDescent="0.45">
      <c r="A1011" s="1"/>
      <c r="B1011" s="2"/>
    </row>
    <row r="1012" spans="1:2" x14ac:dyDescent="0.45">
      <c r="A1012" s="1"/>
      <c r="B1012" s="2"/>
    </row>
    <row r="1013" spans="1:2" x14ac:dyDescent="0.45">
      <c r="A1013" s="1"/>
      <c r="B1013" s="2"/>
    </row>
    <row r="1014" spans="1:2" x14ac:dyDescent="0.45">
      <c r="A1014" s="1"/>
      <c r="B1014" s="2"/>
    </row>
    <row r="1015" spans="1:2" x14ac:dyDescent="0.45">
      <c r="A1015" s="1"/>
      <c r="B1015" s="2"/>
    </row>
    <row r="1016" spans="1:2" x14ac:dyDescent="0.45">
      <c r="A1016" s="1"/>
      <c r="B1016" s="2"/>
    </row>
    <row r="1017" spans="1:2" x14ac:dyDescent="0.45">
      <c r="A1017" s="1"/>
      <c r="B1017" s="2"/>
    </row>
    <row r="1018" spans="1:2" x14ac:dyDescent="0.45">
      <c r="A1018" s="1"/>
      <c r="B1018" s="2"/>
    </row>
    <row r="1019" spans="1:2" x14ac:dyDescent="0.45">
      <c r="A1019" s="1"/>
      <c r="B1019" s="2"/>
    </row>
    <row r="1020" spans="1:2" x14ac:dyDescent="0.45">
      <c r="A1020" s="1"/>
      <c r="B1020" s="2"/>
    </row>
    <row r="1021" spans="1:2" x14ac:dyDescent="0.45">
      <c r="A1021" s="1"/>
      <c r="B1021" s="2"/>
    </row>
    <row r="1022" spans="1:2" x14ac:dyDescent="0.45">
      <c r="A1022" s="1"/>
      <c r="B1022" s="2"/>
    </row>
    <row r="1023" spans="1:2" x14ac:dyDescent="0.45">
      <c r="A1023" s="1"/>
      <c r="B1023" s="2"/>
    </row>
    <row r="1024" spans="1:2" x14ac:dyDescent="0.45">
      <c r="A1024" s="1"/>
      <c r="B1024" s="2"/>
    </row>
    <row r="1025" spans="1:2" x14ac:dyDescent="0.45">
      <c r="A1025" s="1"/>
      <c r="B1025" s="2"/>
    </row>
    <row r="1026" spans="1:2" x14ac:dyDescent="0.45">
      <c r="A1026" s="1"/>
      <c r="B1026" s="2"/>
    </row>
    <row r="1027" spans="1:2" x14ac:dyDescent="0.45">
      <c r="A1027" s="1"/>
      <c r="B1027" s="2"/>
    </row>
    <row r="1028" spans="1:2" x14ac:dyDescent="0.45">
      <c r="A1028" s="1"/>
      <c r="B1028" s="2"/>
    </row>
    <row r="1029" spans="1:2" x14ac:dyDescent="0.45">
      <c r="A1029" s="1"/>
      <c r="B1029" s="2"/>
    </row>
    <row r="1030" spans="1:2" x14ac:dyDescent="0.45">
      <c r="A1030" s="1"/>
      <c r="B1030" s="2"/>
    </row>
    <row r="1031" spans="1:2" x14ac:dyDescent="0.45">
      <c r="A1031" s="1"/>
      <c r="B1031" s="2"/>
    </row>
    <row r="1032" spans="1:2" x14ac:dyDescent="0.45">
      <c r="A1032" s="1"/>
      <c r="B1032" s="2"/>
    </row>
    <row r="1033" spans="1:2" x14ac:dyDescent="0.45">
      <c r="A1033" s="1"/>
      <c r="B1033" s="2"/>
    </row>
    <row r="1034" spans="1:2" x14ac:dyDescent="0.45">
      <c r="A1034" s="1"/>
      <c r="B1034" s="2"/>
    </row>
    <row r="1035" spans="1:2" x14ac:dyDescent="0.45">
      <c r="A1035" s="1"/>
      <c r="B1035" s="2"/>
    </row>
    <row r="1036" spans="1:2" x14ac:dyDescent="0.45">
      <c r="A1036" s="1"/>
      <c r="B1036" s="2"/>
    </row>
    <row r="1037" spans="1:2" x14ac:dyDescent="0.45">
      <c r="A1037" s="1"/>
      <c r="B1037" s="2"/>
    </row>
    <row r="1038" spans="1:2" x14ac:dyDescent="0.45">
      <c r="A1038" s="1"/>
      <c r="B1038" s="2"/>
    </row>
    <row r="1039" spans="1:2" x14ac:dyDescent="0.45">
      <c r="A1039" s="1"/>
      <c r="B1039" s="2"/>
    </row>
    <row r="1040" spans="1:2" x14ac:dyDescent="0.45">
      <c r="A1040" s="1"/>
      <c r="B1040" s="2"/>
    </row>
    <row r="1041" spans="1:2" x14ac:dyDescent="0.45">
      <c r="A1041" s="1"/>
      <c r="B1041" s="2"/>
    </row>
    <row r="1042" spans="1:2" x14ac:dyDescent="0.45">
      <c r="A1042" s="1"/>
      <c r="B1042" s="2"/>
    </row>
    <row r="1043" spans="1:2" x14ac:dyDescent="0.45">
      <c r="A1043" s="1"/>
      <c r="B1043" s="2"/>
    </row>
    <row r="1044" spans="1:2" x14ac:dyDescent="0.45">
      <c r="A1044" s="1"/>
      <c r="B1044" s="2"/>
    </row>
    <row r="1045" spans="1:2" x14ac:dyDescent="0.45">
      <c r="A1045" s="1"/>
      <c r="B1045" s="2"/>
    </row>
    <row r="1046" spans="1:2" x14ac:dyDescent="0.45">
      <c r="A1046" s="1"/>
      <c r="B1046" s="2"/>
    </row>
    <row r="1047" spans="1:2" x14ac:dyDescent="0.45">
      <c r="A1047" s="1"/>
      <c r="B1047" s="2"/>
    </row>
    <row r="1048" spans="1:2" x14ac:dyDescent="0.45">
      <c r="A1048" s="1"/>
      <c r="B1048" s="2"/>
    </row>
    <row r="1049" spans="1:2" x14ac:dyDescent="0.45">
      <c r="A1049" s="1"/>
      <c r="B1049" s="2"/>
    </row>
    <row r="1050" spans="1:2" x14ac:dyDescent="0.45">
      <c r="A1050" s="1"/>
      <c r="B1050" s="2"/>
    </row>
    <row r="1051" spans="1:2" x14ac:dyDescent="0.45">
      <c r="A1051" s="1"/>
      <c r="B1051" s="2"/>
    </row>
    <row r="1052" spans="1:2" x14ac:dyDescent="0.45">
      <c r="A1052" s="1"/>
      <c r="B1052" s="2"/>
    </row>
    <row r="1053" spans="1:2" x14ac:dyDescent="0.45">
      <c r="A1053" s="1"/>
      <c r="B1053" s="2"/>
    </row>
    <row r="1054" spans="1:2" x14ac:dyDescent="0.45">
      <c r="A1054" s="1"/>
      <c r="B1054" s="2"/>
    </row>
    <row r="1055" spans="1:2" x14ac:dyDescent="0.45">
      <c r="A1055" s="1"/>
      <c r="B1055" s="2"/>
    </row>
    <row r="1056" spans="1:2" x14ac:dyDescent="0.45">
      <c r="A1056" s="1"/>
      <c r="B1056" s="2"/>
    </row>
    <row r="1057" spans="1:2" x14ac:dyDescent="0.45">
      <c r="A1057" s="1"/>
      <c r="B1057" s="2"/>
    </row>
    <row r="1058" spans="1:2" x14ac:dyDescent="0.45">
      <c r="A1058" s="1"/>
      <c r="B1058" s="2"/>
    </row>
    <row r="1059" spans="1:2" x14ac:dyDescent="0.45">
      <c r="A1059" s="1"/>
      <c r="B1059" s="2"/>
    </row>
    <row r="1060" spans="1:2" x14ac:dyDescent="0.45">
      <c r="A1060" s="1"/>
      <c r="B1060" s="2"/>
    </row>
    <row r="1061" spans="1:2" x14ac:dyDescent="0.45">
      <c r="A1061" s="1"/>
      <c r="B1061" s="2"/>
    </row>
    <row r="1062" spans="1:2" x14ac:dyDescent="0.45">
      <c r="A1062" s="1"/>
      <c r="B1062" s="2"/>
    </row>
    <row r="1063" spans="1:2" x14ac:dyDescent="0.45">
      <c r="A1063" s="1"/>
      <c r="B1063" s="2"/>
    </row>
    <row r="1064" spans="1:2" x14ac:dyDescent="0.45">
      <c r="A1064" s="1"/>
      <c r="B1064" s="2"/>
    </row>
    <row r="1065" spans="1:2" x14ac:dyDescent="0.45">
      <c r="A1065" s="1"/>
      <c r="B1065" s="2"/>
    </row>
    <row r="1066" spans="1:2" x14ac:dyDescent="0.45">
      <c r="A1066" s="1"/>
      <c r="B1066" s="2"/>
    </row>
    <row r="1067" spans="1:2" x14ac:dyDescent="0.45">
      <c r="A1067" s="1"/>
      <c r="B1067" s="2"/>
    </row>
    <row r="1068" spans="1:2" x14ac:dyDescent="0.45">
      <c r="A1068" s="1"/>
      <c r="B1068" s="2"/>
    </row>
    <row r="1069" spans="1:2" x14ac:dyDescent="0.45">
      <c r="A1069" s="1"/>
      <c r="B1069" s="2"/>
    </row>
    <row r="1070" spans="1:2" x14ac:dyDescent="0.45">
      <c r="A1070" s="1"/>
      <c r="B1070" s="2"/>
    </row>
    <row r="1071" spans="1:2" x14ac:dyDescent="0.45">
      <c r="A1071" s="1"/>
      <c r="B1071" s="2"/>
    </row>
    <row r="1072" spans="1:2" x14ac:dyDescent="0.45">
      <c r="A1072" s="1"/>
      <c r="B1072" s="2"/>
    </row>
    <row r="1073" spans="1:2" x14ac:dyDescent="0.45">
      <c r="A1073" s="1"/>
      <c r="B1073" s="2"/>
    </row>
    <row r="1074" spans="1:2" x14ac:dyDescent="0.45">
      <c r="A1074" s="1"/>
      <c r="B1074" s="2"/>
    </row>
    <row r="1075" spans="1:2" x14ac:dyDescent="0.45">
      <c r="A1075" s="1"/>
      <c r="B1075" s="2"/>
    </row>
    <row r="1076" spans="1:2" x14ac:dyDescent="0.45">
      <c r="A1076" s="1"/>
      <c r="B1076" s="2"/>
    </row>
    <row r="1077" spans="1:2" x14ac:dyDescent="0.45">
      <c r="A1077" s="1"/>
      <c r="B1077" s="2"/>
    </row>
    <row r="1078" spans="1:2" x14ac:dyDescent="0.45">
      <c r="A1078" s="1"/>
      <c r="B1078" s="2"/>
    </row>
    <row r="1079" spans="1:2" x14ac:dyDescent="0.45">
      <c r="A1079" s="1"/>
      <c r="B1079" s="2"/>
    </row>
    <row r="1080" spans="1:2" x14ac:dyDescent="0.45">
      <c r="A1080" s="1"/>
      <c r="B1080" s="2"/>
    </row>
    <row r="1081" spans="1:2" x14ac:dyDescent="0.45">
      <c r="A1081" s="1"/>
      <c r="B1081" s="2"/>
    </row>
    <row r="1082" spans="1:2" x14ac:dyDescent="0.45">
      <c r="A1082" s="1"/>
      <c r="B1082" s="2"/>
    </row>
    <row r="1083" spans="1:2" x14ac:dyDescent="0.45">
      <c r="A1083" s="1"/>
      <c r="B1083" s="2"/>
    </row>
    <row r="1084" spans="1:2" x14ac:dyDescent="0.45">
      <c r="A1084" s="1"/>
      <c r="B1084" s="2"/>
    </row>
    <row r="1085" spans="1:2" x14ac:dyDescent="0.45">
      <c r="A1085" s="1"/>
      <c r="B1085" s="2"/>
    </row>
    <row r="1086" spans="1:2" x14ac:dyDescent="0.45">
      <c r="A1086" s="1"/>
      <c r="B1086" s="2"/>
    </row>
    <row r="1087" spans="1:2" x14ac:dyDescent="0.45">
      <c r="A1087" s="1"/>
      <c r="B1087" s="2"/>
    </row>
    <row r="1088" spans="1:2" x14ac:dyDescent="0.45">
      <c r="A1088" s="1"/>
      <c r="B1088" s="2"/>
    </row>
    <row r="1089" spans="1:2" x14ac:dyDescent="0.45">
      <c r="A1089" s="1"/>
      <c r="B1089" s="2"/>
    </row>
    <row r="1090" spans="1:2" x14ac:dyDescent="0.45">
      <c r="A1090" s="1"/>
      <c r="B1090" s="2"/>
    </row>
    <row r="1091" spans="1:2" x14ac:dyDescent="0.45">
      <c r="A1091" s="1"/>
      <c r="B1091" s="2"/>
    </row>
    <row r="1092" spans="1:2" x14ac:dyDescent="0.45">
      <c r="A1092" s="1"/>
      <c r="B1092" s="2"/>
    </row>
    <row r="1093" spans="1:2" x14ac:dyDescent="0.45">
      <c r="A1093" s="1"/>
      <c r="B1093" s="2"/>
    </row>
    <row r="1094" spans="1:2" x14ac:dyDescent="0.45">
      <c r="A1094" s="1"/>
      <c r="B1094" s="2"/>
    </row>
    <row r="1095" spans="1:2" x14ac:dyDescent="0.45">
      <c r="A1095" s="1"/>
      <c r="B1095" s="2"/>
    </row>
    <row r="1096" spans="1:2" x14ac:dyDescent="0.45">
      <c r="A1096" s="1"/>
      <c r="B1096" s="2"/>
    </row>
    <row r="1097" spans="1:2" x14ac:dyDescent="0.45">
      <c r="A1097" s="1"/>
      <c r="B1097" s="2"/>
    </row>
    <row r="1098" spans="1:2" x14ac:dyDescent="0.45">
      <c r="A1098" s="1"/>
      <c r="B1098" s="2"/>
    </row>
    <row r="1099" spans="1:2" x14ac:dyDescent="0.45">
      <c r="A1099" s="1"/>
      <c r="B1099" s="2"/>
    </row>
    <row r="1100" spans="1:2" x14ac:dyDescent="0.45">
      <c r="A1100" s="1"/>
      <c r="B1100" s="2"/>
    </row>
    <row r="1101" spans="1:2" x14ac:dyDescent="0.45">
      <c r="A1101" s="1"/>
      <c r="B1101" s="2"/>
    </row>
    <row r="1102" spans="1:2" x14ac:dyDescent="0.45">
      <c r="A1102" s="1"/>
      <c r="B1102" s="2"/>
    </row>
    <row r="1103" spans="1:2" x14ac:dyDescent="0.45">
      <c r="A1103" s="1"/>
      <c r="B1103" s="2"/>
    </row>
    <row r="1104" spans="1:2" x14ac:dyDescent="0.45">
      <c r="A1104" s="1"/>
      <c r="B1104" s="2"/>
    </row>
    <row r="1105" spans="1:2" x14ac:dyDescent="0.45">
      <c r="A1105" s="1"/>
      <c r="B1105" s="2"/>
    </row>
    <row r="1106" spans="1:2" x14ac:dyDescent="0.45">
      <c r="A1106" s="1"/>
      <c r="B1106" s="2"/>
    </row>
    <row r="1107" spans="1:2" x14ac:dyDescent="0.45">
      <c r="A1107" s="1"/>
      <c r="B1107" s="2"/>
    </row>
    <row r="1108" spans="1:2" x14ac:dyDescent="0.45">
      <c r="A1108" s="1"/>
      <c r="B1108" s="2"/>
    </row>
    <row r="1109" spans="1:2" x14ac:dyDescent="0.45">
      <c r="A1109" s="1"/>
      <c r="B1109" s="2"/>
    </row>
    <row r="1110" spans="1:2" x14ac:dyDescent="0.45">
      <c r="A1110" s="1"/>
      <c r="B1110" s="2"/>
    </row>
    <row r="1111" spans="1:2" x14ac:dyDescent="0.45">
      <c r="A1111" s="1"/>
      <c r="B1111" s="2"/>
    </row>
    <row r="1112" spans="1:2" x14ac:dyDescent="0.45">
      <c r="A1112" s="1"/>
      <c r="B1112" s="2"/>
    </row>
    <row r="1113" spans="1:2" x14ac:dyDescent="0.45">
      <c r="A1113" s="1"/>
      <c r="B1113" s="2"/>
    </row>
    <row r="1114" spans="1:2" x14ac:dyDescent="0.45">
      <c r="A1114" s="1"/>
      <c r="B1114" s="2"/>
    </row>
    <row r="1115" spans="1:2" x14ac:dyDescent="0.45">
      <c r="A1115" s="1"/>
      <c r="B1115" s="2"/>
    </row>
    <row r="1116" spans="1:2" x14ac:dyDescent="0.45">
      <c r="A1116" s="1"/>
      <c r="B1116" s="2"/>
    </row>
    <row r="1117" spans="1:2" x14ac:dyDescent="0.45">
      <c r="A1117" s="1"/>
      <c r="B1117" s="2"/>
    </row>
    <row r="1118" spans="1:2" x14ac:dyDescent="0.45">
      <c r="A1118" s="1"/>
      <c r="B1118" s="2"/>
    </row>
    <row r="1119" spans="1:2" x14ac:dyDescent="0.45">
      <c r="A1119" s="1"/>
      <c r="B1119" s="2"/>
    </row>
    <row r="1120" spans="1:2" x14ac:dyDescent="0.45">
      <c r="A1120" s="1"/>
      <c r="B1120" s="2"/>
    </row>
    <row r="1121" spans="1:2" x14ac:dyDescent="0.45">
      <c r="A1121" s="1"/>
      <c r="B1121" s="2"/>
    </row>
    <row r="1122" spans="1:2" x14ac:dyDescent="0.45">
      <c r="A1122" s="1"/>
      <c r="B1122" s="2"/>
    </row>
    <row r="1123" spans="1:2" x14ac:dyDescent="0.45">
      <c r="A1123" s="1"/>
      <c r="B1123" s="2"/>
    </row>
    <row r="1124" spans="1:2" x14ac:dyDescent="0.45">
      <c r="A1124" s="1"/>
      <c r="B1124" s="2"/>
    </row>
    <row r="1125" spans="1:2" x14ac:dyDescent="0.45">
      <c r="A1125" s="1"/>
      <c r="B1125" s="2"/>
    </row>
    <row r="1126" spans="1:2" x14ac:dyDescent="0.45">
      <c r="A1126" s="1"/>
      <c r="B1126" s="2"/>
    </row>
    <row r="1127" spans="1:2" x14ac:dyDescent="0.45">
      <c r="A1127" s="1"/>
      <c r="B1127" s="2"/>
    </row>
    <row r="1128" spans="1:2" x14ac:dyDescent="0.45">
      <c r="A1128" s="1"/>
      <c r="B1128" s="2"/>
    </row>
    <row r="1129" spans="1:2" x14ac:dyDescent="0.45">
      <c r="A1129" s="1"/>
      <c r="B1129" s="2"/>
    </row>
    <row r="1130" spans="1:2" x14ac:dyDescent="0.45">
      <c r="A1130" s="1"/>
      <c r="B1130" s="2"/>
    </row>
    <row r="1131" spans="1:2" x14ac:dyDescent="0.45">
      <c r="A1131" s="1"/>
      <c r="B1131" s="2"/>
    </row>
    <row r="1132" spans="1:2" x14ac:dyDescent="0.45">
      <c r="A1132" s="1"/>
      <c r="B1132" s="2"/>
    </row>
    <row r="1133" spans="1:2" x14ac:dyDescent="0.45">
      <c r="A1133" s="1"/>
      <c r="B1133" s="2"/>
    </row>
    <row r="1134" spans="1:2" x14ac:dyDescent="0.45">
      <c r="A1134" s="1"/>
      <c r="B1134" s="2"/>
    </row>
    <row r="1135" spans="1:2" x14ac:dyDescent="0.45">
      <c r="A1135" s="1"/>
      <c r="B1135" s="2"/>
    </row>
    <row r="1136" spans="1:2" x14ac:dyDescent="0.45">
      <c r="A1136" s="1"/>
      <c r="B1136" s="2"/>
    </row>
    <row r="1137" spans="1:2" x14ac:dyDescent="0.45">
      <c r="A1137" s="1"/>
      <c r="B1137" s="2"/>
    </row>
    <row r="1138" spans="1:2" x14ac:dyDescent="0.45">
      <c r="A1138" s="1"/>
      <c r="B1138" s="2"/>
    </row>
    <row r="1139" spans="1:2" x14ac:dyDescent="0.45">
      <c r="A1139" s="1"/>
      <c r="B1139" s="2"/>
    </row>
    <row r="1140" spans="1:2" x14ac:dyDescent="0.45">
      <c r="A1140" s="1"/>
      <c r="B1140" s="2"/>
    </row>
    <row r="1141" spans="1:2" x14ac:dyDescent="0.45">
      <c r="A1141" s="1"/>
      <c r="B1141" s="2"/>
    </row>
    <row r="1142" spans="1:2" x14ac:dyDescent="0.45">
      <c r="A1142" s="1"/>
      <c r="B1142" s="2"/>
    </row>
    <row r="1143" spans="1:2" x14ac:dyDescent="0.45">
      <c r="A1143" s="1"/>
      <c r="B1143" s="2"/>
    </row>
    <row r="1144" spans="1:2" x14ac:dyDescent="0.45">
      <c r="A1144" s="1"/>
      <c r="B1144" s="2"/>
    </row>
    <row r="1145" spans="1:2" x14ac:dyDescent="0.45">
      <c r="A1145" s="1"/>
      <c r="B1145" s="2"/>
    </row>
    <row r="1146" spans="1:2" x14ac:dyDescent="0.45">
      <c r="A1146" s="1"/>
      <c r="B1146" s="2"/>
    </row>
    <row r="1147" spans="1:2" x14ac:dyDescent="0.45">
      <c r="A1147" s="1"/>
      <c r="B1147" s="2"/>
    </row>
    <row r="1148" spans="1:2" x14ac:dyDescent="0.45">
      <c r="A1148" s="1"/>
      <c r="B1148" s="2"/>
    </row>
    <row r="1149" spans="1:2" x14ac:dyDescent="0.45">
      <c r="A1149" s="1"/>
      <c r="B1149" s="2"/>
    </row>
    <row r="1150" spans="1:2" x14ac:dyDescent="0.45">
      <c r="A1150" s="1"/>
      <c r="B1150" s="2"/>
    </row>
    <row r="1151" spans="1:2" x14ac:dyDescent="0.45">
      <c r="A1151" s="1"/>
      <c r="B1151" s="2"/>
    </row>
    <row r="1152" spans="1:2" x14ac:dyDescent="0.45">
      <c r="A1152" s="1"/>
      <c r="B1152" s="2"/>
    </row>
    <row r="1153" spans="1:2" x14ac:dyDescent="0.45">
      <c r="A1153" s="1"/>
      <c r="B1153" s="2"/>
    </row>
    <row r="1154" spans="1:2" x14ac:dyDescent="0.45">
      <c r="A1154" s="1"/>
      <c r="B1154" s="2"/>
    </row>
    <row r="1155" spans="1:2" x14ac:dyDescent="0.45">
      <c r="A1155" s="1"/>
      <c r="B1155" s="2"/>
    </row>
    <row r="1156" spans="1:2" x14ac:dyDescent="0.45">
      <c r="A1156" s="1"/>
      <c r="B1156" s="2"/>
    </row>
    <row r="1157" spans="1:2" x14ac:dyDescent="0.45">
      <c r="A1157" s="1"/>
      <c r="B1157" s="2"/>
    </row>
    <row r="1158" spans="1:2" x14ac:dyDescent="0.45">
      <c r="A1158" s="1"/>
      <c r="B1158" s="2"/>
    </row>
    <row r="1159" spans="1:2" x14ac:dyDescent="0.45">
      <c r="A1159" s="1"/>
      <c r="B1159" s="2"/>
    </row>
    <row r="1160" spans="1:2" x14ac:dyDescent="0.45">
      <c r="A1160" s="1"/>
      <c r="B1160" s="2"/>
    </row>
    <row r="1161" spans="1:2" x14ac:dyDescent="0.45">
      <c r="A1161" s="1"/>
      <c r="B1161" s="2"/>
    </row>
    <row r="1162" spans="1:2" x14ac:dyDescent="0.45">
      <c r="A1162" s="1"/>
      <c r="B1162" s="2"/>
    </row>
    <row r="1163" spans="1:2" x14ac:dyDescent="0.45">
      <c r="A1163" s="1"/>
      <c r="B1163" s="2"/>
    </row>
    <row r="1164" spans="1:2" x14ac:dyDescent="0.45">
      <c r="A1164" s="1"/>
      <c r="B1164" s="2"/>
    </row>
    <row r="1165" spans="1:2" x14ac:dyDescent="0.45">
      <c r="A1165" s="1"/>
      <c r="B1165" s="2"/>
    </row>
    <row r="1166" spans="1:2" x14ac:dyDescent="0.45">
      <c r="A1166" s="1"/>
      <c r="B1166" s="2"/>
    </row>
    <row r="1167" spans="1:2" x14ac:dyDescent="0.45">
      <c r="A1167" s="1"/>
      <c r="B1167" s="2"/>
    </row>
    <row r="1168" spans="1:2" x14ac:dyDescent="0.45">
      <c r="A1168" s="1"/>
      <c r="B1168" s="2"/>
    </row>
    <row r="1169" spans="1:2" x14ac:dyDescent="0.45">
      <c r="A1169" s="1"/>
      <c r="B1169" s="2"/>
    </row>
    <row r="1170" spans="1:2" x14ac:dyDescent="0.45">
      <c r="A1170" s="1"/>
      <c r="B1170" s="2"/>
    </row>
    <row r="1171" spans="1:2" x14ac:dyDescent="0.45">
      <c r="A1171" s="1"/>
      <c r="B1171" s="2"/>
    </row>
    <row r="1172" spans="1:2" x14ac:dyDescent="0.45">
      <c r="A1172" s="1"/>
      <c r="B1172" s="2"/>
    </row>
    <row r="1173" spans="1:2" x14ac:dyDescent="0.45">
      <c r="A1173" s="1"/>
      <c r="B1173" s="2"/>
    </row>
    <row r="1174" spans="1:2" x14ac:dyDescent="0.45">
      <c r="A1174" s="1"/>
      <c r="B1174" s="2"/>
    </row>
    <row r="1175" spans="1:2" x14ac:dyDescent="0.45">
      <c r="A1175" s="1"/>
      <c r="B1175" s="2"/>
    </row>
    <row r="1176" spans="1:2" x14ac:dyDescent="0.45">
      <c r="A1176" s="1"/>
      <c r="B1176" s="2"/>
    </row>
    <row r="1177" spans="1:2" x14ac:dyDescent="0.45">
      <c r="A1177" s="1"/>
      <c r="B1177" s="2"/>
    </row>
    <row r="1178" spans="1:2" x14ac:dyDescent="0.45">
      <c r="A1178" s="1"/>
      <c r="B1178" s="2"/>
    </row>
    <row r="1179" spans="1:2" x14ac:dyDescent="0.45">
      <c r="A1179" s="1"/>
      <c r="B1179" s="2"/>
    </row>
    <row r="1180" spans="1:2" x14ac:dyDescent="0.45">
      <c r="A1180" s="1"/>
      <c r="B1180" s="2"/>
    </row>
    <row r="1181" spans="1:2" x14ac:dyDescent="0.45">
      <c r="A1181" s="1"/>
      <c r="B1181" s="2"/>
    </row>
    <row r="1182" spans="1:2" x14ac:dyDescent="0.45">
      <c r="A1182" s="1"/>
      <c r="B1182" s="2"/>
    </row>
    <row r="1183" spans="1:2" x14ac:dyDescent="0.45">
      <c r="A1183" s="1"/>
      <c r="B1183" s="2"/>
    </row>
    <row r="1184" spans="1:2" x14ac:dyDescent="0.45">
      <c r="A1184" s="1"/>
      <c r="B1184" s="2"/>
    </row>
    <row r="1185" spans="1:2" x14ac:dyDescent="0.45">
      <c r="A1185" s="1"/>
      <c r="B1185" s="2"/>
    </row>
    <row r="1186" spans="1:2" x14ac:dyDescent="0.45">
      <c r="A1186" s="1"/>
      <c r="B1186" s="2"/>
    </row>
    <row r="1187" spans="1:2" x14ac:dyDescent="0.45">
      <c r="A1187" s="1"/>
      <c r="B1187" s="2"/>
    </row>
    <row r="1188" spans="1:2" x14ac:dyDescent="0.45">
      <c r="A1188" s="1"/>
      <c r="B1188" s="2"/>
    </row>
    <row r="1189" spans="1:2" x14ac:dyDescent="0.45">
      <c r="A1189" s="1"/>
      <c r="B1189" s="2"/>
    </row>
    <row r="1190" spans="1:2" x14ac:dyDescent="0.45">
      <c r="A1190" s="1"/>
      <c r="B1190" s="2"/>
    </row>
    <row r="1191" spans="1:2" x14ac:dyDescent="0.45">
      <c r="A1191" s="1"/>
      <c r="B1191" s="2"/>
    </row>
    <row r="1192" spans="1:2" x14ac:dyDescent="0.45">
      <c r="A1192" s="1"/>
      <c r="B1192" s="2"/>
    </row>
    <row r="1193" spans="1:2" x14ac:dyDescent="0.45">
      <c r="A1193" s="1"/>
      <c r="B1193" s="2"/>
    </row>
    <row r="1194" spans="1:2" x14ac:dyDescent="0.45">
      <c r="A1194" s="1"/>
      <c r="B1194" s="2"/>
    </row>
    <row r="1195" spans="1:2" x14ac:dyDescent="0.45">
      <c r="A1195" s="1"/>
      <c r="B1195" s="2"/>
    </row>
    <row r="1196" spans="1:2" x14ac:dyDescent="0.45">
      <c r="A1196" s="1"/>
      <c r="B1196" s="2"/>
    </row>
    <row r="1197" spans="1:2" x14ac:dyDescent="0.45">
      <c r="A1197" s="1"/>
      <c r="B1197" s="2"/>
    </row>
    <row r="1198" spans="1:2" x14ac:dyDescent="0.45">
      <c r="A1198" s="1"/>
      <c r="B1198" s="2"/>
    </row>
    <row r="1199" spans="1:2" x14ac:dyDescent="0.45">
      <c r="A1199" s="1"/>
      <c r="B1199" s="2"/>
    </row>
    <row r="1200" spans="1:2" x14ac:dyDescent="0.45">
      <c r="A1200" s="1"/>
      <c r="B1200" s="2"/>
    </row>
    <row r="1201" spans="1:2" x14ac:dyDescent="0.45">
      <c r="A1201" s="1"/>
      <c r="B1201" s="2"/>
    </row>
    <row r="1202" spans="1:2" x14ac:dyDescent="0.45">
      <c r="A1202" s="1"/>
      <c r="B1202" s="2"/>
    </row>
    <row r="1203" spans="1:2" x14ac:dyDescent="0.45">
      <c r="A1203" s="1"/>
      <c r="B1203" s="2"/>
    </row>
    <row r="1204" spans="1:2" x14ac:dyDescent="0.45">
      <c r="A1204" s="1"/>
      <c r="B1204" s="2"/>
    </row>
    <row r="1205" spans="1:2" x14ac:dyDescent="0.45">
      <c r="A1205" s="1"/>
      <c r="B1205" s="2"/>
    </row>
    <row r="1206" spans="1:2" x14ac:dyDescent="0.45">
      <c r="A1206" s="1"/>
      <c r="B1206" s="2"/>
    </row>
    <row r="1207" spans="1:2" x14ac:dyDescent="0.45">
      <c r="A1207" s="1"/>
      <c r="B1207" s="2"/>
    </row>
    <row r="1208" spans="1:2" x14ac:dyDescent="0.45">
      <c r="A1208" s="1"/>
      <c r="B1208" s="2"/>
    </row>
    <row r="1209" spans="1:2" x14ac:dyDescent="0.45">
      <c r="A1209" s="1"/>
      <c r="B1209" s="2"/>
    </row>
    <row r="1210" spans="1:2" x14ac:dyDescent="0.45">
      <c r="A1210" s="1"/>
      <c r="B1210" s="2"/>
    </row>
    <row r="1211" spans="1:2" x14ac:dyDescent="0.45">
      <c r="A1211" s="1"/>
      <c r="B1211" s="2"/>
    </row>
    <row r="1212" spans="1:2" x14ac:dyDescent="0.45">
      <c r="A1212" s="1"/>
      <c r="B1212" s="2"/>
    </row>
    <row r="1213" spans="1:2" x14ac:dyDescent="0.45">
      <c r="A1213" s="1"/>
      <c r="B1213" s="2"/>
    </row>
    <row r="1214" spans="1:2" x14ac:dyDescent="0.45">
      <c r="A1214" s="1"/>
      <c r="B1214" s="2"/>
    </row>
    <row r="1215" spans="1:2" x14ac:dyDescent="0.45">
      <c r="A1215" s="1"/>
      <c r="B1215" s="2"/>
    </row>
    <row r="1216" spans="1:2" x14ac:dyDescent="0.45">
      <c r="A1216" s="1"/>
      <c r="B1216" s="2"/>
    </row>
    <row r="1217" spans="1:2" x14ac:dyDescent="0.45">
      <c r="A1217" s="1"/>
      <c r="B1217" s="2"/>
    </row>
    <row r="1218" spans="1:2" x14ac:dyDescent="0.45">
      <c r="A1218" s="1"/>
      <c r="B1218" s="2"/>
    </row>
    <row r="1219" spans="1:2" x14ac:dyDescent="0.45">
      <c r="A1219" s="1"/>
      <c r="B1219" s="2"/>
    </row>
    <row r="1220" spans="1:2" x14ac:dyDescent="0.45">
      <c r="A1220" s="1"/>
      <c r="B1220" s="2"/>
    </row>
    <row r="1221" spans="1:2" x14ac:dyDescent="0.45">
      <c r="A1221" s="1"/>
      <c r="B1221" s="2"/>
    </row>
    <row r="1222" spans="1:2" x14ac:dyDescent="0.45">
      <c r="A1222" s="1"/>
      <c r="B1222" s="2"/>
    </row>
    <row r="1223" spans="1:2" x14ac:dyDescent="0.45">
      <c r="A1223" s="1"/>
      <c r="B1223" s="2"/>
    </row>
    <row r="1224" spans="1:2" x14ac:dyDescent="0.45">
      <c r="A1224" s="1"/>
      <c r="B1224" s="2"/>
    </row>
    <row r="1225" spans="1:2" x14ac:dyDescent="0.45">
      <c r="A1225" s="1"/>
      <c r="B1225" s="2"/>
    </row>
    <row r="1226" spans="1:2" x14ac:dyDescent="0.45">
      <c r="A1226" s="1"/>
      <c r="B1226" s="2"/>
    </row>
    <row r="1227" spans="1:2" x14ac:dyDescent="0.45">
      <c r="A1227" s="1"/>
      <c r="B1227" s="2"/>
    </row>
    <row r="1228" spans="1:2" x14ac:dyDescent="0.45">
      <c r="A1228" s="1"/>
      <c r="B1228" s="2"/>
    </row>
    <row r="1229" spans="1:2" x14ac:dyDescent="0.45">
      <c r="A1229" s="1"/>
      <c r="B1229" s="2"/>
    </row>
    <row r="1230" spans="1:2" x14ac:dyDescent="0.45">
      <c r="A1230" s="1"/>
      <c r="B1230" s="2"/>
    </row>
    <row r="1231" spans="1:2" x14ac:dyDescent="0.45">
      <c r="A1231" s="1"/>
      <c r="B1231" s="2"/>
    </row>
    <row r="1232" spans="1:2" x14ac:dyDescent="0.45">
      <c r="A1232" s="1"/>
      <c r="B1232" s="2"/>
    </row>
    <row r="1233" spans="1:2" x14ac:dyDescent="0.45">
      <c r="A1233" s="1"/>
      <c r="B1233" s="2"/>
    </row>
    <row r="1234" spans="1:2" x14ac:dyDescent="0.45">
      <c r="A1234" s="1"/>
      <c r="B1234" s="2"/>
    </row>
    <row r="1235" spans="1:2" x14ac:dyDescent="0.45">
      <c r="A1235" s="1"/>
      <c r="B1235" s="2"/>
    </row>
    <row r="1236" spans="1:2" x14ac:dyDescent="0.45">
      <c r="A1236" s="1"/>
      <c r="B1236" s="2"/>
    </row>
    <row r="1237" spans="1:2" x14ac:dyDescent="0.45">
      <c r="A1237" s="1"/>
      <c r="B1237" s="2"/>
    </row>
    <row r="1238" spans="1:2" x14ac:dyDescent="0.45">
      <c r="A1238" s="1"/>
      <c r="B1238" s="2"/>
    </row>
    <row r="1239" spans="1:2" x14ac:dyDescent="0.45">
      <c r="A1239" s="1"/>
      <c r="B1239" s="2"/>
    </row>
    <row r="1240" spans="1:2" x14ac:dyDescent="0.45">
      <c r="A1240" s="1"/>
      <c r="B1240" s="2"/>
    </row>
    <row r="1241" spans="1:2" x14ac:dyDescent="0.45">
      <c r="A1241" s="1"/>
      <c r="B1241" s="2"/>
    </row>
    <row r="1242" spans="1:2" x14ac:dyDescent="0.45">
      <c r="A1242" s="1"/>
      <c r="B1242" s="2"/>
    </row>
    <row r="1243" spans="1:2" x14ac:dyDescent="0.45">
      <c r="A1243" s="1"/>
      <c r="B1243" s="2"/>
    </row>
    <row r="1244" spans="1:2" x14ac:dyDescent="0.45">
      <c r="A1244" s="1"/>
      <c r="B1244" s="2"/>
    </row>
    <row r="1245" spans="1:2" x14ac:dyDescent="0.45">
      <c r="A1245" s="1"/>
      <c r="B1245" s="2"/>
    </row>
    <row r="1246" spans="1:2" x14ac:dyDescent="0.45">
      <c r="A1246" s="1"/>
      <c r="B1246" s="2"/>
    </row>
    <row r="1247" spans="1:2" x14ac:dyDescent="0.45">
      <c r="A1247" s="1"/>
      <c r="B1247" s="2"/>
    </row>
    <row r="1248" spans="1:2" x14ac:dyDescent="0.45">
      <c r="A1248" s="1"/>
      <c r="B1248" s="2"/>
    </row>
    <row r="1249" spans="1:2" x14ac:dyDescent="0.45">
      <c r="A1249" s="1"/>
      <c r="B1249" s="2"/>
    </row>
    <row r="1250" spans="1:2" x14ac:dyDescent="0.45">
      <c r="A1250" s="1"/>
      <c r="B1250" s="2"/>
    </row>
    <row r="1251" spans="1:2" x14ac:dyDescent="0.45">
      <c r="A1251" s="1"/>
      <c r="B1251" s="2"/>
    </row>
    <row r="1252" spans="1:2" x14ac:dyDescent="0.45">
      <c r="A1252" s="1"/>
      <c r="B1252" s="2"/>
    </row>
    <row r="1253" spans="1:2" x14ac:dyDescent="0.45">
      <c r="A1253" s="1"/>
      <c r="B1253" s="2"/>
    </row>
    <row r="1254" spans="1:2" x14ac:dyDescent="0.45">
      <c r="A1254" s="1"/>
      <c r="B1254" s="2"/>
    </row>
    <row r="1255" spans="1:2" x14ac:dyDescent="0.45">
      <c r="A1255" s="1"/>
      <c r="B1255" s="2"/>
    </row>
    <row r="1256" spans="1:2" x14ac:dyDescent="0.45">
      <c r="A1256" s="1"/>
      <c r="B1256" s="2"/>
    </row>
    <row r="1257" spans="1:2" x14ac:dyDescent="0.45">
      <c r="A1257" s="1"/>
      <c r="B1257" s="2"/>
    </row>
    <row r="1258" spans="1:2" x14ac:dyDescent="0.45">
      <c r="A1258" s="1"/>
      <c r="B1258" s="2"/>
    </row>
    <row r="1259" spans="1:2" x14ac:dyDescent="0.45">
      <c r="A1259" s="1"/>
      <c r="B1259" s="2"/>
    </row>
    <row r="1260" spans="1:2" x14ac:dyDescent="0.45">
      <c r="A1260" s="1"/>
      <c r="B1260" s="2"/>
    </row>
    <row r="1261" spans="1:2" x14ac:dyDescent="0.45">
      <c r="A1261" s="1"/>
      <c r="B1261" s="2"/>
    </row>
    <row r="1262" spans="1:2" x14ac:dyDescent="0.45">
      <c r="A1262" s="1"/>
      <c r="B1262" s="2"/>
    </row>
    <row r="1263" spans="1:2" x14ac:dyDescent="0.45">
      <c r="A1263" s="1"/>
      <c r="B1263" s="2"/>
    </row>
    <row r="1264" spans="1:2" x14ac:dyDescent="0.45">
      <c r="A1264" s="1"/>
      <c r="B1264" s="2"/>
    </row>
    <row r="1265" spans="1:2" x14ac:dyDescent="0.45">
      <c r="A1265" s="1"/>
      <c r="B1265" s="2"/>
    </row>
    <row r="1266" spans="1:2" x14ac:dyDescent="0.45">
      <c r="A1266" s="1"/>
      <c r="B1266" s="2"/>
    </row>
    <row r="1267" spans="1:2" x14ac:dyDescent="0.45">
      <c r="A1267" s="1"/>
      <c r="B1267" s="2"/>
    </row>
    <row r="1268" spans="1:2" x14ac:dyDescent="0.45">
      <c r="A1268" s="1"/>
      <c r="B1268" s="2"/>
    </row>
    <row r="1269" spans="1:2" x14ac:dyDescent="0.45">
      <c r="A1269" s="1"/>
      <c r="B1269" s="2"/>
    </row>
    <row r="1270" spans="1:2" x14ac:dyDescent="0.45">
      <c r="A1270" s="1"/>
      <c r="B1270" s="2"/>
    </row>
    <row r="1271" spans="1:2" x14ac:dyDescent="0.45">
      <c r="A1271" s="1"/>
      <c r="B1271" s="2"/>
    </row>
    <row r="1272" spans="1:2" x14ac:dyDescent="0.45">
      <c r="A1272" s="1"/>
      <c r="B1272" s="2"/>
    </row>
    <row r="1273" spans="1:2" x14ac:dyDescent="0.45">
      <c r="A1273" s="1"/>
      <c r="B1273" s="2"/>
    </row>
    <row r="1274" spans="1:2" x14ac:dyDescent="0.45">
      <c r="A1274" s="1"/>
      <c r="B1274" s="2"/>
    </row>
    <row r="1275" spans="1:2" x14ac:dyDescent="0.45">
      <c r="A1275" s="1"/>
      <c r="B1275" s="2"/>
    </row>
    <row r="1276" spans="1:2" x14ac:dyDescent="0.45">
      <c r="A1276" s="1"/>
      <c r="B1276" s="2"/>
    </row>
    <row r="1277" spans="1:2" x14ac:dyDescent="0.45">
      <c r="A1277" s="1"/>
      <c r="B1277" s="2"/>
    </row>
    <row r="1278" spans="1:2" x14ac:dyDescent="0.45">
      <c r="A1278" s="1"/>
      <c r="B1278" s="2"/>
    </row>
    <row r="1279" spans="1:2" x14ac:dyDescent="0.45">
      <c r="A1279" s="1"/>
      <c r="B1279" s="2"/>
    </row>
    <row r="1280" spans="1:2" x14ac:dyDescent="0.45">
      <c r="A1280" s="1"/>
      <c r="B1280" s="2"/>
    </row>
    <row r="1281" spans="1:2" x14ac:dyDescent="0.45">
      <c r="A1281" s="1"/>
      <c r="B1281" s="2"/>
    </row>
    <row r="1282" spans="1:2" x14ac:dyDescent="0.45">
      <c r="A1282" s="1"/>
      <c r="B1282" s="2"/>
    </row>
    <row r="1283" spans="1:2" x14ac:dyDescent="0.45">
      <c r="A1283" s="1"/>
      <c r="B1283" s="2"/>
    </row>
    <row r="1284" spans="1:2" x14ac:dyDescent="0.45">
      <c r="A1284" s="1"/>
      <c r="B1284" s="2"/>
    </row>
    <row r="1285" spans="1:2" x14ac:dyDescent="0.45">
      <c r="A1285" s="1"/>
      <c r="B1285" s="2"/>
    </row>
    <row r="1286" spans="1:2" x14ac:dyDescent="0.45">
      <c r="A1286" s="1"/>
      <c r="B1286" s="2"/>
    </row>
    <row r="1287" spans="1:2" x14ac:dyDescent="0.45">
      <c r="A1287" s="1"/>
      <c r="B1287" s="2"/>
    </row>
    <row r="1288" spans="1:2" x14ac:dyDescent="0.45">
      <c r="A1288" s="1"/>
      <c r="B1288" s="2"/>
    </row>
    <row r="1289" spans="1:2" x14ac:dyDescent="0.45">
      <c r="A1289" s="1"/>
      <c r="B1289" s="2"/>
    </row>
    <row r="1290" spans="1:2" x14ac:dyDescent="0.45">
      <c r="A1290" s="1"/>
      <c r="B1290" s="2"/>
    </row>
    <row r="1291" spans="1:2" x14ac:dyDescent="0.45">
      <c r="A1291" s="1"/>
      <c r="B1291" s="2"/>
    </row>
    <row r="1292" spans="1:2" x14ac:dyDescent="0.45">
      <c r="A1292" s="1"/>
      <c r="B1292" s="2"/>
    </row>
    <row r="1293" spans="1:2" x14ac:dyDescent="0.45">
      <c r="A1293" s="1"/>
      <c r="B1293" s="2"/>
    </row>
    <row r="1294" spans="1:2" x14ac:dyDescent="0.45">
      <c r="A1294" s="1"/>
      <c r="B1294" s="2"/>
    </row>
    <row r="1295" spans="1:2" x14ac:dyDescent="0.45">
      <c r="A1295" s="1"/>
      <c r="B1295" s="2"/>
    </row>
    <row r="1296" spans="1:2" x14ac:dyDescent="0.45">
      <c r="A1296" s="1"/>
      <c r="B1296" s="2"/>
    </row>
    <row r="1297" spans="1:2" x14ac:dyDescent="0.45">
      <c r="A1297" s="1"/>
      <c r="B1297" s="2"/>
    </row>
    <row r="1298" spans="1:2" x14ac:dyDescent="0.45">
      <c r="A1298" s="1"/>
      <c r="B1298" s="2"/>
    </row>
    <row r="1299" spans="1:2" x14ac:dyDescent="0.45">
      <c r="A1299" s="1"/>
      <c r="B1299" s="2"/>
    </row>
    <row r="1300" spans="1:2" x14ac:dyDescent="0.45">
      <c r="A1300" s="1"/>
      <c r="B1300" s="2"/>
    </row>
    <row r="1301" spans="1:2" x14ac:dyDescent="0.45">
      <c r="A1301" s="1"/>
      <c r="B1301" s="2"/>
    </row>
    <row r="1302" spans="1:2" x14ac:dyDescent="0.45">
      <c r="A1302" s="1"/>
      <c r="B1302" s="2"/>
    </row>
    <row r="1303" spans="1:2" x14ac:dyDescent="0.45">
      <c r="A1303" s="1"/>
      <c r="B1303" s="2"/>
    </row>
    <row r="1304" spans="1:2" x14ac:dyDescent="0.45">
      <c r="A1304" s="1"/>
      <c r="B1304" s="2"/>
    </row>
    <row r="1305" spans="1:2" x14ac:dyDescent="0.45">
      <c r="A1305" s="1"/>
      <c r="B1305" s="2"/>
    </row>
    <row r="1306" spans="1:2" x14ac:dyDescent="0.45">
      <c r="A1306" s="1"/>
      <c r="B1306" s="2"/>
    </row>
    <row r="1307" spans="1:2" x14ac:dyDescent="0.45">
      <c r="A1307" s="1"/>
      <c r="B1307" s="2"/>
    </row>
    <row r="1308" spans="1:2" x14ac:dyDescent="0.45">
      <c r="A1308" s="1"/>
      <c r="B1308" s="2"/>
    </row>
    <row r="1309" spans="1:2" x14ac:dyDescent="0.45">
      <c r="A1309" s="1"/>
      <c r="B1309" s="2"/>
    </row>
    <row r="1310" spans="1:2" x14ac:dyDescent="0.45">
      <c r="A1310" s="1"/>
      <c r="B1310" s="2"/>
    </row>
    <row r="1311" spans="1:2" x14ac:dyDescent="0.45">
      <c r="A1311" s="1"/>
      <c r="B1311" s="2"/>
    </row>
    <row r="1312" spans="1:2" x14ac:dyDescent="0.45">
      <c r="A1312" s="1"/>
      <c r="B1312" s="2"/>
    </row>
    <row r="1313" spans="1:2" x14ac:dyDescent="0.45">
      <c r="A1313" s="1"/>
      <c r="B1313" s="2"/>
    </row>
    <row r="1314" spans="1:2" x14ac:dyDescent="0.45">
      <c r="A1314" s="1"/>
      <c r="B1314" s="2"/>
    </row>
    <row r="1315" spans="1:2" x14ac:dyDescent="0.45">
      <c r="A1315" s="1"/>
      <c r="B1315" s="2"/>
    </row>
    <row r="1316" spans="1:2" x14ac:dyDescent="0.45">
      <c r="A1316" s="1"/>
      <c r="B1316" s="2"/>
    </row>
    <row r="1317" spans="1:2" x14ac:dyDescent="0.45">
      <c r="A1317" s="1"/>
      <c r="B1317" s="2"/>
    </row>
    <row r="1318" spans="1:2" x14ac:dyDescent="0.45">
      <c r="A1318" s="1"/>
      <c r="B1318" s="2"/>
    </row>
    <row r="1319" spans="1:2" x14ac:dyDescent="0.45">
      <c r="A1319" s="1"/>
      <c r="B1319" s="2"/>
    </row>
    <row r="1320" spans="1:2" x14ac:dyDescent="0.45">
      <c r="A1320" s="1"/>
      <c r="B1320" s="2"/>
    </row>
    <row r="1321" spans="1:2" x14ac:dyDescent="0.45">
      <c r="A1321" s="1"/>
      <c r="B1321" s="2"/>
    </row>
    <row r="1322" spans="1:2" x14ac:dyDescent="0.45">
      <c r="A1322" s="1"/>
      <c r="B1322" s="2"/>
    </row>
    <row r="1323" spans="1:2" x14ac:dyDescent="0.45">
      <c r="A1323" s="1"/>
      <c r="B1323" s="2"/>
    </row>
    <row r="1324" spans="1:2" x14ac:dyDescent="0.45">
      <c r="A1324" s="1"/>
      <c r="B1324" s="2"/>
    </row>
    <row r="1325" spans="1:2" x14ac:dyDescent="0.45">
      <c r="A1325" s="1"/>
      <c r="B1325" s="2"/>
    </row>
    <row r="1326" spans="1:2" x14ac:dyDescent="0.45">
      <c r="A1326" s="1"/>
      <c r="B1326" s="2"/>
    </row>
    <row r="1327" spans="1:2" x14ac:dyDescent="0.45">
      <c r="A1327" s="1"/>
      <c r="B1327" s="2"/>
    </row>
    <row r="1328" spans="1:2" x14ac:dyDescent="0.45">
      <c r="A1328" s="1"/>
      <c r="B1328" s="2"/>
    </row>
    <row r="1329" spans="1:2" x14ac:dyDescent="0.45">
      <c r="A1329" s="1"/>
      <c r="B1329" s="2"/>
    </row>
    <row r="1330" spans="1:2" x14ac:dyDescent="0.45">
      <c r="A1330" s="1"/>
      <c r="B1330" s="2"/>
    </row>
    <row r="1331" spans="1:2" x14ac:dyDescent="0.45">
      <c r="A1331" s="1"/>
      <c r="B1331" s="2"/>
    </row>
    <row r="1332" spans="1:2" x14ac:dyDescent="0.45">
      <c r="A1332" s="1"/>
      <c r="B1332" s="2"/>
    </row>
    <row r="1333" spans="1:2" x14ac:dyDescent="0.45">
      <c r="A1333" s="1"/>
      <c r="B1333" s="2"/>
    </row>
    <row r="1334" spans="1:2" x14ac:dyDescent="0.45">
      <c r="A1334" s="1"/>
      <c r="B1334" s="2"/>
    </row>
    <row r="1335" spans="1:2" x14ac:dyDescent="0.45">
      <c r="A1335" s="1"/>
      <c r="B1335" s="2"/>
    </row>
    <row r="1336" spans="1:2" x14ac:dyDescent="0.45">
      <c r="A1336" s="1"/>
      <c r="B1336" s="2"/>
    </row>
    <row r="1337" spans="1:2" x14ac:dyDescent="0.45">
      <c r="A1337" s="1"/>
      <c r="B1337" s="2"/>
    </row>
    <row r="1338" spans="1:2" x14ac:dyDescent="0.45">
      <c r="A1338" s="1"/>
      <c r="B1338" s="2"/>
    </row>
    <row r="1339" spans="1:2" x14ac:dyDescent="0.45">
      <c r="A1339" s="1"/>
      <c r="B1339" s="2"/>
    </row>
    <row r="1340" spans="1:2" x14ac:dyDescent="0.45">
      <c r="A1340" s="1"/>
      <c r="B1340" s="2"/>
    </row>
    <row r="1341" spans="1:2" x14ac:dyDescent="0.45">
      <c r="A1341" s="1"/>
      <c r="B1341" s="2"/>
    </row>
    <row r="1342" spans="1:2" x14ac:dyDescent="0.45">
      <c r="A1342" s="1"/>
      <c r="B1342" s="2"/>
    </row>
    <row r="1343" spans="1:2" x14ac:dyDescent="0.45">
      <c r="A1343" s="1"/>
      <c r="B1343" s="2"/>
    </row>
    <row r="1344" spans="1:2" x14ac:dyDescent="0.45">
      <c r="A1344" s="1"/>
      <c r="B1344" s="2"/>
    </row>
    <row r="1345" spans="1:2" x14ac:dyDescent="0.45">
      <c r="A1345" s="1"/>
      <c r="B1345" s="2"/>
    </row>
    <row r="1346" spans="1:2" x14ac:dyDescent="0.45">
      <c r="A1346" s="1"/>
      <c r="B1346" s="2"/>
    </row>
    <row r="1347" spans="1:2" x14ac:dyDescent="0.45">
      <c r="A1347" s="1"/>
      <c r="B1347" s="2"/>
    </row>
    <row r="1348" spans="1:2" x14ac:dyDescent="0.45">
      <c r="A1348" s="1"/>
      <c r="B1348" s="2"/>
    </row>
    <row r="1349" spans="1:2" x14ac:dyDescent="0.45">
      <c r="A1349" s="1"/>
      <c r="B1349" s="2"/>
    </row>
    <row r="1350" spans="1:2" x14ac:dyDescent="0.45">
      <c r="A1350" s="1"/>
      <c r="B1350" s="2"/>
    </row>
    <row r="1351" spans="1:2" x14ac:dyDescent="0.45">
      <c r="A1351" s="1"/>
      <c r="B1351" s="2"/>
    </row>
    <row r="1352" spans="1:2" x14ac:dyDescent="0.45">
      <c r="A1352" s="1"/>
      <c r="B1352" s="2"/>
    </row>
    <row r="1353" spans="1:2" x14ac:dyDescent="0.45">
      <c r="A1353" s="1"/>
      <c r="B1353" s="2"/>
    </row>
    <row r="1354" spans="1:2" x14ac:dyDescent="0.45">
      <c r="A1354" s="1"/>
      <c r="B1354" s="2"/>
    </row>
    <row r="1355" spans="1:2" x14ac:dyDescent="0.45">
      <c r="A1355" s="1"/>
      <c r="B1355" s="2"/>
    </row>
    <row r="1356" spans="1:2" x14ac:dyDescent="0.45">
      <c r="A1356" s="1"/>
      <c r="B1356" s="2"/>
    </row>
    <row r="1357" spans="1:2" x14ac:dyDescent="0.45">
      <c r="A1357" s="1"/>
      <c r="B1357" s="2"/>
    </row>
    <row r="1358" spans="1:2" x14ac:dyDescent="0.45">
      <c r="A1358" s="1"/>
      <c r="B1358" s="2"/>
    </row>
    <row r="1359" spans="1:2" x14ac:dyDescent="0.45">
      <c r="A1359" s="1"/>
      <c r="B1359" s="2"/>
    </row>
    <row r="1360" spans="1:2" x14ac:dyDescent="0.45">
      <c r="A1360" s="1"/>
      <c r="B1360" s="2"/>
    </row>
    <row r="1361" spans="1:2" x14ac:dyDescent="0.45">
      <c r="A1361" s="1"/>
      <c r="B1361" s="2"/>
    </row>
    <row r="1362" spans="1:2" x14ac:dyDescent="0.45">
      <c r="A1362" s="1"/>
      <c r="B1362" s="2"/>
    </row>
    <row r="1363" spans="1:2" x14ac:dyDescent="0.45">
      <c r="A1363" s="1"/>
      <c r="B1363" s="2"/>
    </row>
    <row r="1364" spans="1:2" x14ac:dyDescent="0.45">
      <c r="A1364" s="1"/>
      <c r="B1364" s="2"/>
    </row>
    <row r="1365" spans="1:2" x14ac:dyDescent="0.45">
      <c r="A1365" s="1"/>
      <c r="B1365" s="2"/>
    </row>
    <row r="1366" spans="1:2" x14ac:dyDescent="0.45">
      <c r="A1366" s="1"/>
      <c r="B1366" s="2"/>
    </row>
    <row r="1367" spans="1:2" x14ac:dyDescent="0.45">
      <c r="A1367" s="1"/>
      <c r="B1367" s="2"/>
    </row>
    <row r="1368" spans="1:2" x14ac:dyDescent="0.45">
      <c r="A1368" s="1"/>
      <c r="B1368" s="2"/>
    </row>
    <row r="1369" spans="1:2" x14ac:dyDescent="0.45">
      <c r="A1369" s="1"/>
      <c r="B1369" s="2"/>
    </row>
    <row r="1370" spans="1:2" x14ac:dyDescent="0.45">
      <c r="A1370" s="1"/>
      <c r="B1370" s="2"/>
    </row>
    <row r="1371" spans="1:2" x14ac:dyDescent="0.45">
      <c r="A1371" s="1"/>
      <c r="B1371" s="2"/>
    </row>
    <row r="1372" spans="1:2" x14ac:dyDescent="0.45">
      <c r="A1372" s="1"/>
      <c r="B1372" s="2"/>
    </row>
    <row r="1373" spans="1:2" x14ac:dyDescent="0.45">
      <c r="A1373" s="1"/>
      <c r="B1373" s="2"/>
    </row>
    <row r="1374" spans="1:2" x14ac:dyDescent="0.45">
      <c r="A1374" s="1"/>
      <c r="B1374" s="2"/>
    </row>
    <row r="1375" spans="1:2" x14ac:dyDescent="0.45">
      <c r="A1375" s="1"/>
      <c r="B1375" s="2"/>
    </row>
    <row r="1376" spans="1:2" x14ac:dyDescent="0.45">
      <c r="A1376" s="1"/>
      <c r="B1376" s="2"/>
    </row>
    <row r="1377" spans="1:2" x14ac:dyDescent="0.45">
      <c r="A1377" s="1"/>
      <c r="B1377" s="2"/>
    </row>
    <row r="1378" spans="1:2" x14ac:dyDescent="0.45">
      <c r="A1378" s="1"/>
      <c r="B1378" s="2"/>
    </row>
    <row r="1379" spans="1:2" x14ac:dyDescent="0.45">
      <c r="A1379" s="1"/>
      <c r="B1379" s="2"/>
    </row>
    <row r="1380" spans="1:2" x14ac:dyDescent="0.45">
      <c r="A1380" s="1"/>
      <c r="B1380" s="2"/>
    </row>
    <row r="1381" spans="1:2" x14ac:dyDescent="0.45">
      <c r="A1381" s="1"/>
      <c r="B1381" s="2"/>
    </row>
    <row r="1382" spans="1:2" x14ac:dyDescent="0.45">
      <c r="A1382" s="1"/>
      <c r="B1382" s="2"/>
    </row>
    <row r="1383" spans="1:2" x14ac:dyDescent="0.45">
      <c r="A1383" s="1"/>
      <c r="B1383" s="2"/>
    </row>
    <row r="1384" spans="1:2" x14ac:dyDescent="0.45">
      <c r="A1384" s="1"/>
      <c r="B1384" s="2"/>
    </row>
    <row r="1385" spans="1:2" x14ac:dyDescent="0.45">
      <c r="A1385" s="1"/>
      <c r="B1385" s="2"/>
    </row>
    <row r="1386" spans="1:2" x14ac:dyDescent="0.45">
      <c r="A1386" s="1"/>
      <c r="B1386" s="2"/>
    </row>
    <row r="1387" spans="1:2" x14ac:dyDescent="0.45">
      <c r="A1387" s="1"/>
      <c r="B1387" s="2"/>
    </row>
    <row r="1388" spans="1:2" x14ac:dyDescent="0.45">
      <c r="A1388" s="1"/>
      <c r="B1388" s="2"/>
    </row>
    <row r="1389" spans="1:2" x14ac:dyDescent="0.45">
      <c r="A1389" s="1"/>
      <c r="B1389" s="2"/>
    </row>
    <row r="1390" spans="1:2" x14ac:dyDescent="0.45">
      <c r="A1390" s="1"/>
      <c r="B1390" s="2"/>
    </row>
    <row r="1391" spans="1:2" x14ac:dyDescent="0.45">
      <c r="A1391" s="1"/>
      <c r="B1391" s="2"/>
    </row>
    <row r="1392" spans="1:2" x14ac:dyDescent="0.45">
      <c r="A1392" s="1"/>
      <c r="B1392" s="2"/>
    </row>
    <row r="1393" spans="1:2" x14ac:dyDescent="0.45">
      <c r="A1393" s="1"/>
      <c r="B1393" s="2"/>
    </row>
    <row r="1394" spans="1:2" x14ac:dyDescent="0.45">
      <c r="A1394" s="1"/>
      <c r="B1394" s="2"/>
    </row>
    <row r="1395" spans="1:2" x14ac:dyDescent="0.45">
      <c r="A1395" s="1"/>
      <c r="B1395" s="2"/>
    </row>
    <row r="1396" spans="1:2" x14ac:dyDescent="0.45">
      <c r="A1396" s="1"/>
      <c r="B1396" s="2"/>
    </row>
    <row r="1397" spans="1:2" x14ac:dyDescent="0.45">
      <c r="A1397" s="1"/>
      <c r="B1397" s="2"/>
    </row>
    <row r="1398" spans="1:2" x14ac:dyDescent="0.45">
      <c r="A1398" s="1"/>
      <c r="B1398" s="2"/>
    </row>
    <row r="1399" spans="1:2" x14ac:dyDescent="0.45">
      <c r="A1399" s="1"/>
      <c r="B1399" s="2"/>
    </row>
    <row r="1400" spans="1:2" x14ac:dyDescent="0.45">
      <c r="A1400" s="1"/>
      <c r="B1400" s="2"/>
    </row>
    <row r="1401" spans="1:2" x14ac:dyDescent="0.45">
      <c r="A1401" s="1"/>
      <c r="B1401" s="2"/>
    </row>
    <row r="1402" spans="1:2" x14ac:dyDescent="0.45">
      <c r="A1402" s="1"/>
      <c r="B1402" s="2"/>
    </row>
    <row r="1403" spans="1:2" x14ac:dyDescent="0.45">
      <c r="A1403" s="1"/>
      <c r="B1403" s="2"/>
    </row>
    <row r="1404" spans="1:2" x14ac:dyDescent="0.45">
      <c r="A1404" s="1"/>
      <c r="B1404" s="2"/>
    </row>
    <row r="1405" spans="1:2" x14ac:dyDescent="0.45">
      <c r="A1405" s="1"/>
      <c r="B1405" s="2"/>
    </row>
    <row r="1406" spans="1:2" x14ac:dyDescent="0.45">
      <c r="A1406" s="1"/>
      <c r="B1406" s="2"/>
    </row>
    <row r="1407" spans="1:2" x14ac:dyDescent="0.45">
      <c r="A1407" s="1"/>
      <c r="B1407" s="2"/>
    </row>
    <row r="1408" spans="1:2" x14ac:dyDescent="0.45">
      <c r="A1408" s="1"/>
      <c r="B1408" s="2"/>
    </row>
    <row r="1409" spans="1:2" x14ac:dyDescent="0.45">
      <c r="A1409" s="1"/>
      <c r="B1409" s="2"/>
    </row>
    <row r="1410" spans="1:2" x14ac:dyDescent="0.45">
      <c r="A1410" s="1"/>
      <c r="B1410" s="2"/>
    </row>
    <row r="1411" spans="1:2" x14ac:dyDescent="0.45">
      <c r="A1411" s="1"/>
      <c r="B1411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255"/>
  <sheetViews>
    <sheetView tabSelected="1" workbookViewId="0">
      <selection activeCell="K2" sqref="K2:K3"/>
    </sheetView>
  </sheetViews>
  <sheetFormatPr defaultColWidth="10.796875" defaultRowHeight="16.149999999999999" x14ac:dyDescent="0.45"/>
  <cols>
    <col min="6" max="6" width="18.796875" customWidth="1"/>
    <col min="7" max="7" width="23" customWidth="1"/>
    <col min="8" max="8" width="21" customWidth="1"/>
    <col min="9" max="9" width="22.33203125" customWidth="1"/>
    <col min="10" max="10" width="14.33203125" customWidth="1"/>
    <col min="11" max="11" width="23.53125" customWidth="1"/>
    <col min="12" max="12" width="25.3984375" customWidth="1"/>
  </cols>
  <sheetData>
    <row r="1" spans="1:15" ht="16.5" thickBot="1" x14ac:dyDescent="0.5">
      <c r="A1" s="6" t="s">
        <v>0</v>
      </c>
      <c r="B1" s="9" t="s">
        <v>1</v>
      </c>
      <c r="C1" s="15" t="s">
        <v>2</v>
      </c>
      <c r="D1" s="18" t="s">
        <v>3</v>
      </c>
      <c r="F1" s="15" t="s">
        <v>16</v>
      </c>
      <c r="G1" s="7" t="s">
        <v>19</v>
      </c>
      <c r="H1" s="7" t="s">
        <v>20</v>
      </c>
      <c r="I1" s="8" t="s">
        <v>21</v>
      </c>
      <c r="J1" s="26" t="s">
        <v>22</v>
      </c>
      <c r="K1" s="27" t="s">
        <v>54</v>
      </c>
      <c r="L1" s="28" t="s">
        <v>55</v>
      </c>
      <c r="N1" s="23" t="s">
        <v>52</v>
      </c>
      <c r="O1" s="22">
        <v>-7.0688450733978328E-3</v>
      </c>
    </row>
    <row r="2" spans="1:15" ht="16.5" thickBot="1" x14ac:dyDescent="0.5">
      <c r="A2" s="3">
        <v>40361</v>
      </c>
      <c r="B2" s="20">
        <v>32.987662</v>
      </c>
      <c r="C2" s="23">
        <v>109.29221800000001</v>
      </c>
      <c r="D2" s="22">
        <v>11.704839</v>
      </c>
      <c r="F2" s="25"/>
      <c r="G2" s="12">
        <v>1.1538711395220358</v>
      </c>
      <c r="H2" s="21"/>
      <c r="I2" s="12">
        <v>0.90972935703983504</v>
      </c>
      <c r="J2" s="25">
        <f>(G2-I2)</f>
        <v>0.24414178248220075</v>
      </c>
      <c r="K2" s="21" t="b">
        <f t="array" ref="K2">J2&gt;=($O$1+2*$O$2)</f>
        <v>1</v>
      </c>
      <c r="L2" s="22" t="b">
        <f t="array" ref="L2">J2&lt;=($O$1-2*$O$2)</f>
        <v>0</v>
      </c>
      <c r="N2" s="19" t="s">
        <v>53</v>
      </c>
      <c r="O2" s="14">
        <v>0.12226473415400461</v>
      </c>
    </row>
    <row r="3" spans="1:15" ht="16.5" thickBot="1" x14ac:dyDescent="0.5">
      <c r="A3" s="4">
        <v>40365</v>
      </c>
      <c r="B3" s="10">
        <v>33.213422000000001</v>
      </c>
      <c r="C3" s="24">
        <v>110.727204</v>
      </c>
      <c r="D3" s="12">
        <v>11.780735</v>
      </c>
      <c r="F3" s="16">
        <f>(B3-B2)/B2</f>
        <v>6.8437708619665458E-3</v>
      </c>
      <c r="G3" s="11">
        <f>G2*(1+F3)</f>
        <v>1.161767969205161</v>
      </c>
      <c r="H3" s="11">
        <f t="array" ref="H3">(D3-D2)/D2</f>
        <v>6.4841558264919479E-3</v>
      </c>
      <c r="I3" s="12">
        <f>I2*(1+H3)</f>
        <v>0.91562818395081558</v>
      </c>
      <c r="J3" s="25">
        <f t="shared" ref="J3:J66" si="0">(G3-I3)</f>
        <v>0.24613978525434543</v>
      </c>
      <c r="K3" s="21" t="b">
        <f t="array" ref="K3">J3&gt;=($O$1+2*$O$2)</f>
        <v>1</v>
      </c>
      <c r="L3" s="22" t="b">
        <f t="shared" ref="L3:L66" si="1">J3&lt;=(O2-2*O3)</f>
        <v>0</v>
      </c>
    </row>
    <row r="4" spans="1:15" ht="16.5" thickBot="1" x14ac:dyDescent="0.5">
      <c r="A4" s="4">
        <v>40366</v>
      </c>
      <c r="B4" s="10">
        <v>34.554628000000001</v>
      </c>
      <c r="C4" s="24">
        <v>113.902114</v>
      </c>
      <c r="D4" s="12">
        <v>12.328872</v>
      </c>
      <c r="F4" s="16">
        <f t="shared" ref="F4:F67" si="2">(B4-B3)/B3</f>
        <v>4.0381445790198901E-2</v>
      </c>
      <c r="G4" s="11">
        <f t="shared" ref="G4:G67" si="3">G3*(1+F4)</f>
        <v>1.2086818394744088</v>
      </c>
      <c r="H4" s="11">
        <f t="array" ref="H4">(D4-D3)/D3</f>
        <v>4.6528251420645698E-2</v>
      </c>
      <c r="I4" s="12">
        <f t="shared" ref="I4:I67" si="4">I3*(1+H4)</f>
        <v>0.95823076230150839</v>
      </c>
      <c r="J4" s="25">
        <f t="shared" si="0"/>
        <v>0.25045107717290038</v>
      </c>
      <c r="K4" s="21" t="b">
        <f t="array" ref="K4">J4&gt;=($O$1+2*$O$2)</f>
        <v>1</v>
      </c>
      <c r="L4" s="22" t="b">
        <f t="shared" si="1"/>
        <v>0</v>
      </c>
    </row>
    <row r="5" spans="1:15" ht="16.5" thickBot="1" x14ac:dyDescent="0.5">
      <c r="A5" s="4">
        <v>40367</v>
      </c>
      <c r="B5" s="10">
        <v>34.477142999999998</v>
      </c>
      <c r="C5" s="24">
        <v>114.772076</v>
      </c>
      <c r="D5" s="12">
        <v>12.505962999999999</v>
      </c>
      <c r="F5" s="16">
        <f t="shared" si="2"/>
        <v>-2.2423913809751592E-3</v>
      </c>
      <c r="G5" s="11">
        <f t="shared" si="3"/>
        <v>1.2059715017352302</v>
      </c>
      <c r="H5" s="11">
        <f t="array" ref="H5">(D5-D4)/D4</f>
        <v>1.4363925588650689E-2</v>
      </c>
      <c r="I5" s="12">
        <f t="shared" si="4"/>
        <v>0.9719947176679633</v>
      </c>
      <c r="J5" s="25">
        <f t="shared" si="0"/>
        <v>0.23397678406726685</v>
      </c>
      <c r="K5" s="21" t="b">
        <f t="array" ref="K5">J5&gt;=($O$1+2*$O$2)</f>
        <v>0</v>
      </c>
      <c r="L5" s="22" t="b">
        <f t="shared" si="1"/>
        <v>0</v>
      </c>
    </row>
    <row r="6" spans="1:15" ht="16.5" thickBot="1" x14ac:dyDescent="0.5">
      <c r="A6" s="4">
        <v>40368</v>
      </c>
      <c r="B6" s="10">
        <v>34.681528999999998</v>
      </c>
      <c r="C6" s="24">
        <v>114.763105</v>
      </c>
      <c r="D6" s="12">
        <v>12.607157000000001</v>
      </c>
      <c r="F6" s="16">
        <f t="shared" si="2"/>
        <v>5.928159418545775E-3</v>
      </c>
      <c r="G6" s="11">
        <f t="shared" si="3"/>
        <v>1.2131206930517398</v>
      </c>
      <c r="H6" s="11">
        <f t="array" ref="H6">(D6-D5)/D5</f>
        <v>8.0916599545353962E-3</v>
      </c>
      <c r="I6" s="12">
        <f t="shared" si="4"/>
        <v>0.97985976840093703</v>
      </c>
      <c r="J6" s="25">
        <f t="shared" si="0"/>
        <v>0.23326092465080273</v>
      </c>
      <c r="K6" s="21" t="b">
        <f t="array" ref="K6">J6&gt;=($O$1+2*$O$2)</f>
        <v>0</v>
      </c>
      <c r="L6" s="22" t="b">
        <f t="shared" si="1"/>
        <v>0</v>
      </c>
    </row>
    <row r="7" spans="1:15" ht="16.5" thickBot="1" x14ac:dyDescent="0.5">
      <c r="A7" s="4">
        <v>40371</v>
      </c>
      <c r="B7" s="10">
        <v>34.370272</v>
      </c>
      <c r="C7" s="24">
        <v>115.39988</v>
      </c>
      <c r="D7" s="12">
        <v>12.590292</v>
      </c>
      <c r="F7" s="16">
        <f t="shared" si="2"/>
        <v>-8.9747196555260787E-3</v>
      </c>
      <c r="G7" s="11">
        <f t="shared" si="3"/>
        <v>1.2022332749232829</v>
      </c>
      <c r="H7" s="11">
        <f t="array" ref="H7">(D7-D6)/D6</f>
        <v>-1.3377322103628134E-3</v>
      </c>
      <c r="I7" s="12">
        <f t="shared" si="4"/>
        <v>0.97854897842710842</v>
      </c>
      <c r="J7" s="25">
        <f t="shared" si="0"/>
        <v>0.2236842964961745</v>
      </c>
      <c r="K7" s="21" t="b">
        <f t="array" ref="K7">J7&gt;=($O$1+2*$O$2)</f>
        <v>0</v>
      </c>
      <c r="L7" s="22" t="b">
        <f t="shared" si="1"/>
        <v>0</v>
      </c>
    </row>
    <row r="8" spans="1:15" ht="16.5" thickBot="1" x14ac:dyDescent="0.5">
      <c r="A8" s="4">
        <v>40372</v>
      </c>
      <c r="B8" s="10">
        <v>33.636893000000001</v>
      </c>
      <c r="C8" s="24">
        <v>117.023207</v>
      </c>
      <c r="D8" s="12">
        <v>12.826411999999999</v>
      </c>
      <c r="F8" s="16">
        <f t="shared" si="2"/>
        <v>-2.133759663001792E-2</v>
      </c>
      <c r="G8" s="11">
        <f t="shared" si="3"/>
        <v>1.1765805062477845</v>
      </c>
      <c r="H8" s="11">
        <f t="array" ref="H8">(D8-D7)/D7</f>
        <v>1.8754132151978655E-2</v>
      </c>
      <c r="I8" s="12">
        <f t="shared" si="4"/>
        <v>0.99690081528571406</v>
      </c>
      <c r="J8" s="25">
        <f t="shared" si="0"/>
        <v>0.17967969096207048</v>
      </c>
      <c r="K8" s="21" t="b">
        <f t="array" ref="K8">J8&gt;=($O$1+2*$O$2)</f>
        <v>0</v>
      </c>
      <c r="L8" s="22" t="b">
        <f t="shared" si="1"/>
        <v>0</v>
      </c>
    </row>
    <row r="9" spans="1:15" ht="16.5" thickBot="1" x14ac:dyDescent="0.5">
      <c r="A9" s="4">
        <v>40373</v>
      </c>
      <c r="B9" s="10">
        <v>33.761128999999997</v>
      </c>
      <c r="C9" s="24">
        <v>117.23846</v>
      </c>
      <c r="D9" s="12">
        <v>12.817978999999999</v>
      </c>
      <c r="F9" s="16">
        <f t="shared" si="2"/>
        <v>3.6934445758707926E-3</v>
      </c>
      <c r="G9" s="11">
        <f t="shared" si="3"/>
        <v>1.1809261411366607</v>
      </c>
      <c r="H9" s="11">
        <f t="array" ref="H9">(D9-D8)/D8</f>
        <v>-6.5747147370598532E-4</v>
      </c>
      <c r="I9" s="12">
        <f t="shared" si="4"/>
        <v>0.99624538143754948</v>
      </c>
      <c r="J9" s="25">
        <f t="shared" si="0"/>
        <v>0.18468075969911124</v>
      </c>
      <c r="K9" s="21" t="b">
        <f t="array" ref="K9">J9&gt;=($O$1+2*$O$2)</f>
        <v>0</v>
      </c>
      <c r="L9" s="22" t="b">
        <f t="shared" si="1"/>
        <v>0</v>
      </c>
    </row>
    <row r="10" spans="1:15" ht="16.5" thickBot="1" x14ac:dyDescent="0.5">
      <c r="A10" s="4">
        <v>40374</v>
      </c>
      <c r="B10" s="10">
        <v>33.590134999999997</v>
      </c>
      <c r="C10" s="24">
        <v>117.23846</v>
      </c>
      <c r="D10" s="12">
        <v>12.860144</v>
      </c>
      <c r="F10" s="16">
        <f t="shared" si="2"/>
        <v>-5.0648187742773744E-3</v>
      </c>
      <c r="G10" s="11">
        <f t="shared" si="3"/>
        <v>1.1749449642459968</v>
      </c>
      <c r="H10" s="11">
        <f t="array" ref="H10">(D10-D9)/D9</f>
        <v>3.289520134180332E-3</v>
      </c>
      <c r="I10" s="12">
        <f t="shared" si="4"/>
        <v>0.99952255067837237</v>
      </c>
      <c r="J10" s="25">
        <f t="shared" si="0"/>
        <v>0.17542241356762445</v>
      </c>
      <c r="K10" s="21" t="b">
        <f t="array" ref="K10">J10&gt;=($O$1+2*$O$2)</f>
        <v>0</v>
      </c>
      <c r="L10" s="22" t="b">
        <f t="shared" si="1"/>
        <v>0</v>
      </c>
    </row>
    <row r="11" spans="1:15" ht="16.5" thickBot="1" x14ac:dyDescent="0.5">
      <c r="A11" s="4">
        <v>40375</v>
      </c>
      <c r="B11" s="10">
        <v>33.383077999999998</v>
      </c>
      <c r="C11" s="24">
        <v>114.825886</v>
      </c>
      <c r="D11" s="12">
        <v>12.269842000000001</v>
      </c>
      <c r="F11" s="16">
        <f t="shared" si="2"/>
        <v>-6.1642205367736375E-3</v>
      </c>
      <c r="G11" s="11">
        <f t="shared" si="3"/>
        <v>1.1677023443678127</v>
      </c>
      <c r="H11" s="11">
        <f t="array" ref="H11">(D11-D10)/D10</f>
        <v>-4.5901663309524332E-2</v>
      </c>
      <c r="I11" s="12">
        <f t="shared" si="4"/>
        <v>0.95364280308685667</v>
      </c>
      <c r="J11" s="25">
        <f t="shared" si="0"/>
        <v>0.21405954128095606</v>
      </c>
      <c r="K11" s="21" t="b">
        <f t="array" ref="K11">J11&gt;=($O$1+2*$O$2)</f>
        <v>0</v>
      </c>
      <c r="L11" s="22" t="b">
        <f t="shared" si="1"/>
        <v>0</v>
      </c>
    </row>
    <row r="12" spans="1:15" ht="16.5" thickBot="1" x14ac:dyDescent="0.5">
      <c r="A12" s="4">
        <v>40378</v>
      </c>
      <c r="B12" s="10">
        <v>32.805987999999999</v>
      </c>
      <c r="C12" s="24">
        <v>116.40436699999999</v>
      </c>
      <c r="D12" s="12">
        <v>12.328872</v>
      </c>
      <c r="F12" s="16">
        <f t="shared" si="2"/>
        <v>-1.7286902064572906E-2</v>
      </c>
      <c r="G12" s="11">
        <f t="shared" si="3"/>
        <v>1.147516388300154</v>
      </c>
      <c r="H12" s="11">
        <f t="array" ref="H12">(D12-D11)/D11</f>
        <v>4.8109828961122652E-3</v>
      </c>
      <c r="I12" s="12">
        <f t="shared" si="4"/>
        <v>0.95823076230150805</v>
      </c>
      <c r="J12" s="25">
        <f t="shared" si="0"/>
        <v>0.18928562599864596</v>
      </c>
      <c r="K12" s="21" t="b">
        <f t="array" ref="K12">J12&gt;=($O$1+2*$O$2)</f>
        <v>0</v>
      </c>
      <c r="L12" s="22" t="b">
        <f t="shared" si="1"/>
        <v>0</v>
      </c>
    </row>
    <row r="13" spans="1:15" ht="16.5" thickBot="1" x14ac:dyDescent="0.5">
      <c r="A13" s="4">
        <v>40379</v>
      </c>
      <c r="B13" s="10">
        <v>33.648918000000002</v>
      </c>
      <c r="C13" s="24">
        <v>113.498526</v>
      </c>
      <c r="D13" s="12">
        <v>12.598724000000001</v>
      </c>
      <c r="F13" s="16">
        <f t="shared" si="2"/>
        <v>2.5694394572112953E-2</v>
      </c>
      <c r="G13" s="11">
        <f t="shared" si="3"/>
        <v>1.1770011271591041</v>
      </c>
      <c r="H13" s="11">
        <f t="array" ref="H13">(D13-D12)/D12</f>
        <v>2.1887809363257255E-2</v>
      </c>
      <c r="I13" s="12">
        <f t="shared" si="4"/>
        <v>0.97920433455277223</v>
      </c>
      <c r="J13" s="25">
        <f t="shared" si="0"/>
        <v>0.19779679260633187</v>
      </c>
      <c r="K13" s="21" t="b">
        <f t="array" ref="K13">J13&gt;=($O$1+2*$O$2)</f>
        <v>0</v>
      </c>
      <c r="L13" s="22" t="b">
        <f t="shared" si="1"/>
        <v>0</v>
      </c>
    </row>
    <row r="14" spans="1:15" ht="16.5" thickBot="1" x14ac:dyDescent="0.5">
      <c r="A14" s="4">
        <v>40380</v>
      </c>
      <c r="B14" s="10">
        <v>33.962839000000002</v>
      </c>
      <c r="C14" s="24">
        <v>112.350531</v>
      </c>
      <c r="D14" s="12">
        <v>12.514396</v>
      </c>
      <c r="F14" s="16">
        <f t="shared" si="2"/>
        <v>9.3293044370698804E-3</v>
      </c>
      <c r="G14" s="11">
        <f t="shared" si="3"/>
        <v>1.1879817289971457</v>
      </c>
      <c r="H14" s="11">
        <f t="array" ref="H14">(D14-D13)/D13</f>
        <v>-6.6933762498488786E-3</v>
      </c>
      <c r="I14" s="12">
        <f t="shared" si="4"/>
        <v>0.97265015151612766</v>
      </c>
      <c r="J14" s="25">
        <f t="shared" si="0"/>
        <v>0.21533157748101805</v>
      </c>
      <c r="K14" s="21" t="b">
        <f t="array" ref="K14">J14&gt;=($O$1+2*$O$2)</f>
        <v>0</v>
      </c>
      <c r="L14" s="22" t="b">
        <f t="shared" si="1"/>
        <v>0</v>
      </c>
    </row>
    <row r="15" spans="1:15" ht="16.5" thickBot="1" x14ac:dyDescent="0.5">
      <c r="A15" s="4">
        <v>40381</v>
      </c>
      <c r="B15" s="10">
        <v>34.601382999999998</v>
      </c>
      <c r="C15" s="24">
        <v>114.32364200000001</v>
      </c>
      <c r="D15" s="12">
        <v>12.826411999999999</v>
      </c>
      <c r="F15" s="16">
        <f t="shared" si="2"/>
        <v>1.8801255101200343E-2</v>
      </c>
      <c r="G15" s="11">
        <f t="shared" si="3"/>
        <v>1.2103172765395862</v>
      </c>
      <c r="H15" s="11">
        <f t="array" ref="H15">(D15-D14)/D14</f>
        <v>2.4932565662777482E-2</v>
      </c>
      <c r="I15" s="12">
        <f t="shared" si="4"/>
        <v>0.99690081528571395</v>
      </c>
      <c r="J15" s="25">
        <f t="shared" si="0"/>
        <v>0.21341646125387226</v>
      </c>
      <c r="K15" s="21" t="b">
        <f t="array" ref="K15">J15&gt;=($O$1+2*$O$2)</f>
        <v>0</v>
      </c>
      <c r="L15" s="22" t="b">
        <f t="shared" si="1"/>
        <v>0</v>
      </c>
    </row>
    <row r="16" spans="1:15" ht="16.5" thickBot="1" x14ac:dyDescent="0.5">
      <c r="A16" s="4">
        <v>40382</v>
      </c>
      <c r="B16" s="10">
        <v>34.724280999999998</v>
      </c>
      <c r="C16" s="24">
        <v>115.13979500000001</v>
      </c>
      <c r="D16" s="12">
        <v>13.248056</v>
      </c>
      <c r="F16" s="16">
        <f t="shared" si="2"/>
        <v>3.551823347639003E-3</v>
      </c>
      <c r="G16" s="11">
        <f t="shared" si="3"/>
        <v>1.2146161097004504</v>
      </c>
      <c r="H16" s="11">
        <f t="array" ref="H16">(D16-D15)/D15</f>
        <v>3.2873105900543396E-2</v>
      </c>
      <c r="I16" s="12">
        <f t="shared" si="4"/>
        <v>1.0296720413589393</v>
      </c>
      <c r="J16" s="25">
        <f t="shared" si="0"/>
        <v>0.18494406834151111</v>
      </c>
      <c r="K16" s="21" t="b">
        <f t="array" ref="K16">J16&gt;=($O$1+2*$O$2)</f>
        <v>0</v>
      </c>
      <c r="L16" s="22" t="b">
        <f t="shared" si="1"/>
        <v>0</v>
      </c>
    </row>
    <row r="17" spans="1:12" ht="16.5" thickBot="1" x14ac:dyDescent="0.5">
      <c r="A17" s="4">
        <v>40385</v>
      </c>
      <c r="B17" s="10">
        <v>34.636111999999997</v>
      </c>
      <c r="C17" s="24">
        <v>115.16669899999999</v>
      </c>
      <c r="D17" s="12">
        <v>13.610670000000001</v>
      </c>
      <c r="F17" s="16">
        <f t="shared" si="2"/>
        <v>-2.5391166486643918E-3</v>
      </c>
      <c r="G17" s="11">
        <f t="shared" si="3"/>
        <v>1.2115320577145741</v>
      </c>
      <c r="H17" s="11">
        <f t="array" ref="H17">(D17-D16)/D16</f>
        <v>2.7371110146273588E-2</v>
      </c>
      <c r="I17" s="12">
        <f t="shared" si="4"/>
        <v>1.0578553082175133</v>
      </c>
      <c r="J17" s="25">
        <f t="shared" si="0"/>
        <v>0.15367674949706078</v>
      </c>
      <c r="K17" s="21" t="b">
        <f t="array" ref="K17">J17&gt;=($O$1+2*$O$2)</f>
        <v>0</v>
      </c>
      <c r="L17" s="22" t="b">
        <f t="shared" si="1"/>
        <v>0</v>
      </c>
    </row>
    <row r="18" spans="1:12" ht="16.5" thickBot="1" x14ac:dyDescent="0.5">
      <c r="A18" s="4">
        <v>40386</v>
      </c>
      <c r="B18" s="10">
        <v>35.277321000000001</v>
      </c>
      <c r="C18" s="24">
        <v>115.364011</v>
      </c>
      <c r="D18" s="12">
        <v>13.644401999999999</v>
      </c>
      <c r="F18" s="16">
        <f t="shared" si="2"/>
        <v>1.8512730297211288E-2</v>
      </c>
      <c r="G18" s="11">
        <f t="shared" si="3"/>
        <v>1.2339608239454694</v>
      </c>
      <c r="H18" s="11">
        <f t="array" ref="H18">(D18-D17)/D17</f>
        <v>2.4783497065169282E-3</v>
      </c>
      <c r="I18" s="12">
        <f t="shared" si="4"/>
        <v>1.0604770436101714</v>
      </c>
      <c r="J18" s="25">
        <f t="shared" si="0"/>
        <v>0.17348378033529799</v>
      </c>
      <c r="K18" s="21" t="b">
        <f t="array" ref="K18">J18&gt;=($O$1+2*$O$2)</f>
        <v>0</v>
      </c>
      <c r="L18" s="22" t="b">
        <f t="shared" si="1"/>
        <v>0</v>
      </c>
    </row>
    <row r="19" spans="1:12" ht="16.5" thickBot="1" x14ac:dyDescent="0.5">
      <c r="A19" s="4">
        <v>40387</v>
      </c>
      <c r="B19" s="10">
        <v>34.860534000000001</v>
      </c>
      <c r="C19" s="24">
        <v>115.18462700000001</v>
      </c>
      <c r="D19" s="12">
        <v>13.534774000000001</v>
      </c>
      <c r="F19" s="16">
        <f t="shared" si="2"/>
        <v>-1.1814587621321907E-2</v>
      </c>
      <c r="G19" s="11">
        <f t="shared" si="3"/>
        <v>1.2193820856696871</v>
      </c>
      <c r="H19" s="11">
        <f t="array" ref="H19">(D19-D18)/D18</f>
        <v>-8.034650400948239E-3</v>
      </c>
      <c r="I19" s="12">
        <f t="shared" si="4"/>
        <v>1.0519564813065325</v>
      </c>
      <c r="J19" s="25">
        <f t="shared" si="0"/>
        <v>0.16742560436315457</v>
      </c>
      <c r="K19" s="21" t="b">
        <f t="array" ref="K19">J19&gt;=($O$1+2*$O$2)</f>
        <v>0</v>
      </c>
      <c r="L19" s="22" t="b">
        <f t="shared" si="1"/>
        <v>0</v>
      </c>
    </row>
    <row r="20" spans="1:12" ht="16.5" thickBot="1" x14ac:dyDescent="0.5">
      <c r="A20" s="4">
        <v>40388</v>
      </c>
      <c r="B20" s="10">
        <v>34.479818999999999</v>
      </c>
      <c r="C20" s="24">
        <v>114.81692200000001</v>
      </c>
      <c r="D20" s="12">
        <v>13.619103000000001</v>
      </c>
      <c r="F20" s="16">
        <f t="shared" si="2"/>
        <v>-1.0921089160596396E-2</v>
      </c>
      <c r="G20" s="11">
        <f t="shared" si="3"/>
        <v>1.2060651051912543</v>
      </c>
      <c r="H20" s="11">
        <f t="array" ref="H20">(D20-D19)/D19</f>
        <v>6.2305436352317603E-3</v>
      </c>
      <c r="I20" s="12">
        <f t="shared" si="4"/>
        <v>1.0585107420656776</v>
      </c>
      <c r="J20" s="25">
        <f t="shared" si="0"/>
        <v>0.14755436312557668</v>
      </c>
      <c r="K20" s="21" t="b">
        <f t="array" ref="K20">J20&gt;=($O$1+2*$O$2)</f>
        <v>0</v>
      </c>
      <c r="L20" s="22" t="b">
        <f t="shared" si="1"/>
        <v>0</v>
      </c>
    </row>
    <row r="21" spans="1:12" ht="16.5" thickBot="1" x14ac:dyDescent="0.5">
      <c r="A21" s="4">
        <v>40389</v>
      </c>
      <c r="B21" s="10">
        <v>34.364932000000003</v>
      </c>
      <c r="C21" s="24">
        <v>115.15772200000001</v>
      </c>
      <c r="D21" s="12">
        <v>13.593805</v>
      </c>
      <c r="F21" s="16">
        <f t="shared" si="2"/>
        <v>-3.3320070502689115E-3</v>
      </c>
      <c r="G21" s="11">
        <f t="shared" si="3"/>
        <v>1.2020464877576738</v>
      </c>
      <c r="H21" s="11">
        <f t="array" ref="H21">(D21-D20)/D20</f>
        <v>-1.8575379009910676E-3</v>
      </c>
      <c r="I21" s="12">
        <f t="shared" si="4"/>
        <v>1.0565445182436843</v>
      </c>
      <c r="J21" s="25">
        <f t="shared" si="0"/>
        <v>0.14550196951398942</v>
      </c>
      <c r="K21" s="21" t="b">
        <f t="array" ref="K21">J21&gt;=($O$1+2*$O$2)</f>
        <v>0</v>
      </c>
      <c r="L21" s="22" t="b">
        <f t="shared" si="1"/>
        <v>0</v>
      </c>
    </row>
    <row r="22" spans="1:12" ht="16.5" thickBot="1" x14ac:dyDescent="0.5">
      <c r="A22" s="4">
        <v>40392</v>
      </c>
      <c r="B22" s="10">
        <v>34.979422999999997</v>
      </c>
      <c r="C22" s="24">
        <v>117.27432899999999</v>
      </c>
      <c r="D22" s="12">
        <v>13.838357999999999</v>
      </c>
      <c r="F22" s="16">
        <f t="shared" si="2"/>
        <v>1.7881339034804256E-2</v>
      </c>
      <c r="G22" s="11">
        <f t="shared" si="3"/>
        <v>1.2235406885408644</v>
      </c>
      <c r="H22" s="11">
        <f t="array" ref="H22">(D22-D21)/D21</f>
        <v>1.799003295986663E-2</v>
      </c>
      <c r="I22" s="12">
        <f t="shared" si="4"/>
        <v>1.0755517889504547</v>
      </c>
      <c r="J22" s="25">
        <f t="shared" si="0"/>
        <v>0.14798889959040973</v>
      </c>
      <c r="K22" s="21" t="b">
        <f t="array" ref="K22">J22&gt;=($O$1+2*$O$2)</f>
        <v>0</v>
      </c>
      <c r="L22" s="22" t="b">
        <f t="shared" si="1"/>
        <v>0</v>
      </c>
    </row>
    <row r="23" spans="1:12" ht="16.5" thickBot="1" x14ac:dyDescent="0.5">
      <c r="A23" s="4">
        <v>40393</v>
      </c>
      <c r="B23" s="10">
        <v>34.990113999999998</v>
      </c>
      <c r="C23" s="24">
        <v>116.92455099999999</v>
      </c>
      <c r="D23" s="12">
        <v>13.829924999999999</v>
      </c>
      <c r="F23" s="16">
        <f t="shared" si="2"/>
        <v>3.0563683111643492E-4</v>
      </c>
      <c r="G23" s="11">
        <f t="shared" si="3"/>
        <v>1.2239146476396521</v>
      </c>
      <c r="H23" s="11">
        <f t="array" ref="H23">(D23-D22)/D22</f>
        <v>-6.0939310863327388E-4</v>
      </c>
      <c r="I23" s="12">
        <f t="shared" si="4"/>
        <v>1.0748963551022901</v>
      </c>
      <c r="J23" s="25">
        <f t="shared" si="0"/>
        <v>0.14901829253736198</v>
      </c>
      <c r="K23" s="21" t="b">
        <f t="array" ref="K23">J23&gt;=($O$1+2*$O$2)</f>
        <v>0</v>
      </c>
      <c r="L23" s="22" t="b">
        <f t="shared" si="1"/>
        <v>0</v>
      </c>
    </row>
    <row r="24" spans="1:12" ht="16.5" thickBot="1" x14ac:dyDescent="0.5">
      <c r="A24" s="4">
        <v>40394</v>
      </c>
      <c r="B24" s="10">
        <v>35.130375999999998</v>
      </c>
      <c r="C24" s="24">
        <v>117.73174</v>
      </c>
      <c r="D24" s="12">
        <v>13.897387999999999</v>
      </c>
      <c r="F24" s="16">
        <f t="shared" si="2"/>
        <v>4.0086179770663193E-3</v>
      </c>
      <c r="G24" s="11">
        <f t="shared" si="3"/>
        <v>1.2288208538985752</v>
      </c>
      <c r="H24" s="11">
        <f t="array" ref="H24">(D24-D23)/D23</f>
        <v>4.8780452533184419E-3</v>
      </c>
      <c r="I24" s="12">
        <f t="shared" si="4"/>
        <v>1.0801397481651061</v>
      </c>
      <c r="J24" s="25">
        <f t="shared" si="0"/>
        <v>0.14868110573346915</v>
      </c>
      <c r="K24" s="21" t="b">
        <f t="array" ref="K24">J24&gt;=($O$1+2*$O$2)</f>
        <v>0</v>
      </c>
      <c r="L24" s="22" t="b">
        <f t="shared" si="1"/>
        <v>0</v>
      </c>
    </row>
    <row r="25" spans="1:12" ht="16.5" thickBot="1" x14ac:dyDescent="0.5">
      <c r="A25" s="4">
        <v>40395</v>
      </c>
      <c r="B25" s="10">
        <v>34.959386000000002</v>
      </c>
      <c r="C25" s="24">
        <v>118.23398299999999</v>
      </c>
      <c r="D25" s="12">
        <v>13.93112</v>
      </c>
      <c r="F25" s="16">
        <f t="shared" si="2"/>
        <v>-4.86729774825058E-3</v>
      </c>
      <c r="G25" s="11">
        <f t="shared" si="3"/>
        <v>1.2228398169233914</v>
      </c>
      <c r="H25" s="11">
        <f t="array" ref="H25">(D25-D24)/D24</f>
        <v>2.4272186974991661E-3</v>
      </c>
      <c r="I25" s="12">
        <f t="shared" si="4"/>
        <v>1.0827614835577644</v>
      </c>
      <c r="J25" s="25">
        <f t="shared" si="0"/>
        <v>0.14007833336562703</v>
      </c>
      <c r="K25" s="21" t="b">
        <f t="array" ref="K25">J25&gt;=($O$1+2*$O$2)</f>
        <v>0</v>
      </c>
      <c r="L25" s="22" t="b">
        <f t="shared" si="1"/>
        <v>0</v>
      </c>
    </row>
    <row r="26" spans="1:12" ht="16.5" thickBot="1" x14ac:dyDescent="0.5">
      <c r="A26" s="4">
        <v>40396</v>
      </c>
      <c r="B26" s="10">
        <v>34.744309999999999</v>
      </c>
      <c r="C26" s="24">
        <v>117.296618</v>
      </c>
      <c r="D26" s="12">
        <v>13.87209</v>
      </c>
      <c r="F26" s="16">
        <f t="shared" si="2"/>
        <v>-6.1521675466498001E-3</v>
      </c>
      <c r="G26" s="11">
        <f t="shared" si="3"/>
        <v>1.2153167014869641</v>
      </c>
      <c r="H26" s="11">
        <f t="array" ref="H26">(D26-D25)/D25</f>
        <v>-4.2372759691970147E-3</v>
      </c>
      <c r="I26" s="12">
        <f t="shared" si="4"/>
        <v>1.078173524343113</v>
      </c>
      <c r="J26" s="25">
        <f t="shared" si="0"/>
        <v>0.13714317714385116</v>
      </c>
      <c r="K26" s="21" t="b">
        <f t="array" ref="K26">J26&gt;=($O$1+2*$O$2)</f>
        <v>0</v>
      </c>
      <c r="L26" s="22" t="b">
        <f t="shared" si="1"/>
        <v>0</v>
      </c>
    </row>
    <row r="27" spans="1:12" ht="16.5" thickBot="1" x14ac:dyDescent="0.5">
      <c r="A27" s="4">
        <v>40399</v>
      </c>
      <c r="B27" s="10">
        <v>34.966070999999999</v>
      </c>
      <c r="C27" s="24">
        <v>118.973057</v>
      </c>
      <c r="D27" s="12">
        <v>13.813059000000001</v>
      </c>
      <c r="F27" s="16">
        <f t="shared" si="2"/>
        <v>6.3826566134138445E-3</v>
      </c>
      <c r="G27" s="11">
        <f t="shared" si="3"/>
        <v>1.223073650669102</v>
      </c>
      <c r="H27" s="11">
        <f t="array" ref="H27">(D27-D26)/D26</f>
        <v>-4.2553789659668566E-3</v>
      </c>
      <c r="I27" s="12">
        <f t="shared" si="4"/>
        <v>1.0735854874059609</v>
      </c>
      <c r="J27" s="25">
        <f t="shared" si="0"/>
        <v>0.14948816326314107</v>
      </c>
      <c r="K27" s="21" t="b">
        <f t="array" ref="K27">J27&gt;=($O$1+2*$O$2)</f>
        <v>0</v>
      </c>
      <c r="L27" s="22" t="b">
        <f t="shared" si="1"/>
        <v>0</v>
      </c>
    </row>
    <row r="28" spans="1:12" ht="16.5" thickBot="1" x14ac:dyDescent="0.5">
      <c r="A28" s="4">
        <v>40400</v>
      </c>
      <c r="B28" s="10">
        <v>34.653477000000002</v>
      </c>
      <c r="C28" s="24">
        <v>118.828844</v>
      </c>
      <c r="D28" s="12">
        <v>13.703431999999999</v>
      </c>
      <c r="F28" s="16">
        <f t="shared" si="2"/>
        <v>-8.93992350470252E-3</v>
      </c>
      <c r="G28" s="11">
        <f t="shared" si="3"/>
        <v>1.212139465791503</v>
      </c>
      <c r="H28" s="11">
        <f t="array" ref="H28">(D28-D27)/D27</f>
        <v>-7.9364751862713006E-3</v>
      </c>
      <c r="I28" s="12">
        <f t="shared" si="4"/>
        <v>1.0650650028248225</v>
      </c>
      <c r="J28" s="25">
        <f t="shared" si="0"/>
        <v>0.14707446296668047</v>
      </c>
      <c r="K28" s="21" t="b">
        <f t="array" ref="K28">J28&gt;=($O$1+2*$O$2)</f>
        <v>0</v>
      </c>
      <c r="L28" s="22" t="b">
        <f t="shared" si="1"/>
        <v>0</v>
      </c>
    </row>
    <row r="29" spans="1:12" ht="16.5" thickBot="1" x14ac:dyDescent="0.5">
      <c r="A29" s="4">
        <v>40401</v>
      </c>
      <c r="B29" s="10">
        <v>33.421816999999997</v>
      </c>
      <c r="C29" s="24">
        <v>117.017214</v>
      </c>
      <c r="D29" s="12">
        <v>13.239623</v>
      </c>
      <c r="F29" s="16">
        <f t="shared" si="2"/>
        <v>-3.5542176619102465E-2</v>
      </c>
      <c r="G29" s="11">
        <f t="shared" si="3"/>
        <v>1.1690573908113568</v>
      </c>
      <c r="H29" s="11">
        <f t="array" ref="H29">(D29-D28)/D28</f>
        <v>-3.3846192690998832E-2</v>
      </c>
      <c r="I29" s="12">
        <f t="shared" si="4"/>
        <v>1.0290166075107743</v>
      </c>
      <c r="J29" s="25">
        <f t="shared" si="0"/>
        <v>0.14004078330058256</v>
      </c>
      <c r="K29" s="21" t="b">
        <f t="array" ref="K29">J29&gt;=($O$1+2*$O$2)</f>
        <v>0</v>
      </c>
      <c r="L29" s="22" t="b">
        <f t="shared" si="1"/>
        <v>0</v>
      </c>
    </row>
    <row r="30" spans="1:12" ht="16.5" thickBot="1" x14ac:dyDescent="0.5">
      <c r="A30" s="4">
        <v>40402</v>
      </c>
      <c r="B30" s="10">
        <v>33.635554999999997</v>
      </c>
      <c r="C30" s="24">
        <v>115.638209</v>
      </c>
      <c r="D30" s="12">
        <v>13.070966</v>
      </c>
      <c r="F30" s="16">
        <f t="shared" si="2"/>
        <v>6.3951639732812652E-3</v>
      </c>
      <c r="G30" s="11">
        <f t="shared" si="3"/>
        <v>1.1765337045197719</v>
      </c>
      <c r="H30" s="11">
        <f t="array" ref="H30">(D30-D29)/D29</f>
        <v>-1.2738806837626692E-2</v>
      </c>
      <c r="I30" s="12">
        <f t="shared" si="4"/>
        <v>1.0159081637149845</v>
      </c>
      <c r="J30" s="25">
        <f t="shared" si="0"/>
        <v>0.16062554080478741</v>
      </c>
      <c r="K30" s="21" t="b">
        <f t="array" ref="K30">J30&gt;=($O$1+2*$O$2)</f>
        <v>0</v>
      </c>
      <c r="L30" s="22" t="b">
        <f t="shared" si="1"/>
        <v>0</v>
      </c>
    </row>
    <row r="31" spans="1:12" ht="16.5" thickBot="1" x14ac:dyDescent="0.5">
      <c r="A31" s="4">
        <v>40403</v>
      </c>
      <c r="B31" s="10">
        <v>33.276203000000002</v>
      </c>
      <c r="C31" s="24">
        <v>115.25064500000001</v>
      </c>
      <c r="D31" s="12">
        <v>12.969771</v>
      </c>
      <c r="F31" s="16">
        <f t="shared" si="2"/>
        <v>-1.0683694679632733E-2</v>
      </c>
      <c r="G31" s="11">
        <f t="shared" si="3"/>
        <v>1.1639639776403854</v>
      </c>
      <c r="H31" s="11">
        <f t="array" ref="H31">(D31-D30)/D30</f>
        <v>-7.7419679616640875E-3</v>
      </c>
      <c r="I31" s="12">
        <f t="shared" si="4"/>
        <v>1.0080430352595102</v>
      </c>
      <c r="J31" s="25">
        <f t="shared" si="0"/>
        <v>0.15592094238087517</v>
      </c>
      <c r="K31" s="21" t="b">
        <f t="array" ref="K31">J31&gt;=($O$1+2*$O$2)</f>
        <v>0</v>
      </c>
      <c r="L31" s="22" t="b">
        <f t="shared" si="1"/>
        <v>0</v>
      </c>
    </row>
    <row r="32" spans="1:12" ht="16.5" thickBot="1" x14ac:dyDescent="0.5">
      <c r="A32" s="4">
        <v>40406</v>
      </c>
      <c r="B32" s="10">
        <v>33.081170999999998</v>
      </c>
      <c r="C32" s="24">
        <v>115.160509</v>
      </c>
      <c r="D32" s="12">
        <v>13.037234</v>
      </c>
      <c r="F32" s="16">
        <f t="shared" si="2"/>
        <v>-5.8610052354832898E-3</v>
      </c>
      <c r="G32" s="11">
        <f t="shared" si="3"/>
        <v>1.1571419786735211</v>
      </c>
      <c r="H32" s="11">
        <f t="array" ref="H32">(D32-D31)/D31</f>
        <v>5.2015567584038341E-3</v>
      </c>
      <c r="I32" s="12">
        <f t="shared" si="4"/>
        <v>1.0132864283223262</v>
      </c>
      <c r="J32" s="25">
        <f t="shared" si="0"/>
        <v>0.14385555035119491</v>
      </c>
      <c r="K32" s="21" t="b">
        <f t="array" ref="K32">J32&gt;=($O$1+2*$O$2)</f>
        <v>0</v>
      </c>
      <c r="L32" s="22" t="b">
        <f t="shared" si="1"/>
        <v>0</v>
      </c>
    </row>
    <row r="33" spans="1:12" ht="16.5" thickBot="1" x14ac:dyDescent="0.5">
      <c r="A33" s="4">
        <v>40407</v>
      </c>
      <c r="B33" s="10">
        <v>33.659593999999998</v>
      </c>
      <c r="C33" s="24">
        <v>115.7734</v>
      </c>
      <c r="D33" s="12">
        <v>13.138429</v>
      </c>
      <c r="F33" s="16">
        <f t="shared" si="2"/>
        <v>1.7484961460402983E-2</v>
      </c>
      <c r="G33" s="11">
        <f t="shared" si="3"/>
        <v>1.1773745615748419</v>
      </c>
      <c r="H33" s="11">
        <f t="array" ref="H33">(D33-D32)/D32</f>
        <v>7.7619992093415358E-3</v>
      </c>
      <c r="I33" s="12">
        <f t="shared" si="4"/>
        <v>1.0211515567778007</v>
      </c>
      <c r="J33" s="25">
        <f t="shared" si="0"/>
        <v>0.15622300479704121</v>
      </c>
      <c r="K33" s="21" t="b">
        <f t="array" ref="K33">J33&gt;=($O$1+2*$O$2)</f>
        <v>0</v>
      </c>
      <c r="L33" s="22" t="b">
        <f t="shared" si="1"/>
        <v>0</v>
      </c>
    </row>
    <row r="34" spans="1:12" ht="16.5" thickBot="1" x14ac:dyDescent="0.5">
      <c r="A34" s="4">
        <v>40408</v>
      </c>
      <c r="B34" s="10">
        <v>33.806545</v>
      </c>
      <c r="C34" s="24">
        <v>116.62063499999999</v>
      </c>
      <c r="D34" s="12">
        <v>13.239623</v>
      </c>
      <c r="F34" s="16">
        <f t="shared" si="2"/>
        <v>4.3657983515784943E-3</v>
      </c>
      <c r="G34" s="11">
        <f t="shared" si="3"/>
        <v>1.1825147414949559</v>
      </c>
      <c r="H34" s="11">
        <f t="array" ref="H34">(D34-D33)/D33</f>
        <v>7.7021385129074074E-3</v>
      </c>
      <c r="I34" s="12">
        <f t="shared" si="4"/>
        <v>1.0290166075107743</v>
      </c>
      <c r="J34" s="25">
        <f t="shared" si="0"/>
        <v>0.15349813398418166</v>
      </c>
      <c r="K34" s="21" t="b">
        <f t="array" ref="K34">J34&gt;=($O$1+2*$O$2)</f>
        <v>0</v>
      </c>
      <c r="L34" s="22" t="b">
        <f t="shared" si="1"/>
        <v>0</v>
      </c>
    </row>
    <row r="35" spans="1:12" ht="16.5" thickBot="1" x14ac:dyDescent="0.5">
      <c r="A35" s="4">
        <v>40409</v>
      </c>
      <c r="B35" s="10">
        <v>33.380401999999997</v>
      </c>
      <c r="C35" s="24">
        <v>116.178988</v>
      </c>
      <c r="D35" s="12">
        <v>12.860144</v>
      </c>
      <c r="F35" s="16">
        <f t="shared" si="2"/>
        <v>-1.2605340178950653E-2</v>
      </c>
      <c r="G35" s="11">
        <f t="shared" si="3"/>
        <v>1.1676087409117881</v>
      </c>
      <c r="H35" s="11">
        <f t="array" ref="H35">(D35-D34)/D34</f>
        <v>-2.8662372032798811E-2</v>
      </c>
      <c r="I35" s="12">
        <f t="shared" si="4"/>
        <v>0.99952255067837203</v>
      </c>
      <c r="J35" s="25">
        <f t="shared" si="0"/>
        <v>0.16808619023341609</v>
      </c>
      <c r="K35" s="21" t="b">
        <f t="array" ref="K35">J35&gt;=($O$1+2*$O$2)</f>
        <v>0</v>
      </c>
      <c r="L35" s="22" t="b">
        <f t="shared" si="1"/>
        <v>0</v>
      </c>
    </row>
    <row r="36" spans="1:12" ht="16.5" thickBot="1" x14ac:dyDescent="0.5">
      <c r="A36" s="4">
        <v>40410</v>
      </c>
      <c r="B36" s="10">
        <v>33.348348000000001</v>
      </c>
      <c r="C36" s="24">
        <v>114.917158</v>
      </c>
      <c r="D36" s="12">
        <v>12.674620000000001</v>
      </c>
      <c r="F36" s="16">
        <f t="shared" si="2"/>
        <v>-9.6026404954605233E-4</v>
      </c>
      <c r="G36" s="11">
        <f t="shared" si="3"/>
        <v>1.1664875282139548</v>
      </c>
      <c r="H36" s="11">
        <f t="array" ref="H36">(D36-D35)/D35</f>
        <v>-1.4426277030801455E-2</v>
      </c>
      <c r="I36" s="12">
        <f t="shared" si="4"/>
        <v>0.98510316146375254</v>
      </c>
      <c r="J36" s="25">
        <f t="shared" si="0"/>
        <v>0.18138436675020231</v>
      </c>
      <c r="K36" s="21" t="b">
        <f t="array" ref="K36">J36&gt;=($O$1+2*$O$2)</f>
        <v>0</v>
      </c>
      <c r="L36" s="22" t="b">
        <f t="shared" si="1"/>
        <v>0</v>
      </c>
    </row>
    <row r="37" spans="1:12" ht="16.5" thickBot="1" x14ac:dyDescent="0.5">
      <c r="A37" s="4">
        <v>40413</v>
      </c>
      <c r="B37" s="10">
        <v>32.835377999999999</v>
      </c>
      <c r="C37" s="24">
        <v>113.98880800000001</v>
      </c>
      <c r="D37" s="12">
        <v>12.556559999999999</v>
      </c>
      <c r="F37" s="16">
        <f t="shared" si="2"/>
        <v>-1.5382171254780081E-2</v>
      </c>
      <c r="G37" s="11">
        <f t="shared" si="3"/>
        <v>1.1485444172884027</v>
      </c>
      <c r="H37" s="11">
        <f t="array" ref="H37">(D37-D36)/D36</f>
        <v>-9.3146776786997634E-3</v>
      </c>
      <c r="I37" s="12">
        <f t="shared" si="4"/>
        <v>0.97592724303444955</v>
      </c>
      <c r="J37" s="25">
        <f t="shared" si="0"/>
        <v>0.17261717425395318</v>
      </c>
      <c r="K37" s="21" t="b">
        <f t="array" ref="K37">J37&gt;=($O$1+2*$O$2)</f>
        <v>0</v>
      </c>
      <c r="L37" s="22" t="b">
        <f t="shared" si="1"/>
        <v>0</v>
      </c>
    </row>
    <row r="38" spans="1:12" ht="16.5" thickBot="1" x14ac:dyDescent="0.5">
      <c r="A38" s="4">
        <v>40414</v>
      </c>
      <c r="B38" s="10">
        <v>32.051223999999998</v>
      </c>
      <c r="C38" s="24">
        <v>112.57375</v>
      </c>
      <c r="D38" s="12">
        <v>12.286708000000001</v>
      </c>
      <c r="F38" s="16">
        <f t="shared" si="2"/>
        <v>-2.3881375752701887E-2</v>
      </c>
      <c r="G38" s="11">
        <f t="shared" si="3"/>
        <v>1.1211155964904704</v>
      </c>
      <c r="H38" s="11">
        <f t="array" ref="H38">(D38-D37)/D37</f>
        <v>-2.1490917894709891E-2</v>
      </c>
      <c r="I38" s="12">
        <f t="shared" si="4"/>
        <v>0.9549536707831856</v>
      </c>
      <c r="J38" s="25">
        <f t="shared" si="0"/>
        <v>0.16616192570728483</v>
      </c>
      <c r="K38" s="21" t="b">
        <f t="array" ref="K38">J38&gt;=($O$1+2*$O$2)</f>
        <v>0</v>
      </c>
      <c r="L38" s="22" t="b">
        <f t="shared" si="1"/>
        <v>0</v>
      </c>
    </row>
    <row r="39" spans="1:12" ht="16.5" thickBot="1" x14ac:dyDescent="0.5">
      <c r="A39" s="4">
        <v>40415</v>
      </c>
      <c r="B39" s="10">
        <v>32.446640000000002</v>
      </c>
      <c r="C39" s="24">
        <v>112.907231</v>
      </c>
      <c r="D39" s="12">
        <v>12.286708000000001</v>
      </c>
      <c r="F39" s="16">
        <f t="shared" si="2"/>
        <v>1.2337001544777336E-2</v>
      </c>
      <c r="G39" s="11">
        <f t="shared" si="3"/>
        <v>1.1349468013362471</v>
      </c>
      <c r="H39" s="11">
        <f t="array" ref="H39">(D39-D38)/D38</f>
        <v>0</v>
      </c>
      <c r="I39" s="12">
        <f t="shared" si="4"/>
        <v>0.9549536707831856</v>
      </c>
      <c r="J39" s="25">
        <f t="shared" si="0"/>
        <v>0.17999313055306154</v>
      </c>
      <c r="K39" s="21" t="b">
        <f t="array" ref="K39">J39&gt;=($O$1+2*$O$2)</f>
        <v>0</v>
      </c>
      <c r="L39" s="22" t="b">
        <f t="shared" si="1"/>
        <v>0</v>
      </c>
    </row>
    <row r="40" spans="1:12" ht="16.5" thickBot="1" x14ac:dyDescent="0.5">
      <c r="A40" s="4">
        <v>40416</v>
      </c>
      <c r="B40" s="10">
        <v>32.097977999999998</v>
      </c>
      <c r="C40" s="24">
        <v>110.66296800000001</v>
      </c>
      <c r="D40" s="12">
        <v>12.227677999999999</v>
      </c>
      <c r="F40" s="16">
        <f t="shared" si="2"/>
        <v>-1.0745704331789192E-2</v>
      </c>
      <c r="G40" s="11">
        <f t="shared" si="3"/>
        <v>1.1227509985767778</v>
      </c>
      <c r="H40" s="11">
        <f t="array" ref="H40">(D40-D39)/D39</f>
        <v>-4.8043788458227935E-3</v>
      </c>
      <c r="I40" s="12">
        <f t="shared" si="4"/>
        <v>0.95036571156853411</v>
      </c>
      <c r="J40" s="25">
        <f t="shared" si="0"/>
        <v>0.17238528700824374</v>
      </c>
      <c r="K40" s="21" t="b">
        <f t="array" ref="K40">J40&gt;=($O$1+2*$O$2)</f>
        <v>0</v>
      </c>
      <c r="L40" s="22" t="b">
        <f t="shared" si="1"/>
        <v>0</v>
      </c>
    </row>
    <row r="41" spans="1:12" ht="16.5" thickBot="1" x14ac:dyDescent="0.5">
      <c r="A41" s="4">
        <v>40417</v>
      </c>
      <c r="B41" s="10">
        <v>32.276983999999999</v>
      </c>
      <c r="C41" s="24">
        <v>112.420529</v>
      </c>
      <c r="D41" s="12">
        <v>12.404768000000001</v>
      </c>
      <c r="F41" s="16">
        <f t="shared" si="2"/>
        <v>5.5768621936248168E-3</v>
      </c>
      <c r="G41" s="11">
        <f t="shared" si="3"/>
        <v>1.1290124261735952</v>
      </c>
      <c r="H41" s="11">
        <f t="array" ref="H41">(D41-D40)/D40</f>
        <v>1.4482716996636773E-2</v>
      </c>
      <c r="I41" s="12">
        <f t="shared" si="4"/>
        <v>0.96412958921248859</v>
      </c>
      <c r="J41" s="25">
        <f t="shared" si="0"/>
        <v>0.16488283696110662</v>
      </c>
      <c r="K41" s="21" t="b">
        <f t="array" ref="K41">J41&gt;=($O$1+2*$O$2)</f>
        <v>0</v>
      </c>
      <c r="L41" s="22" t="b">
        <f t="shared" si="1"/>
        <v>0</v>
      </c>
    </row>
    <row r="42" spans="1:12" ht="16.5" thickBot="1" x14ac:dyDescent="0.5">
      <c r="A42" s="4">
        <v>40420</v>
      </c>
      <c r="B42" s="10">
        <v>32.394545999999998</v>
      </c>
      <c r="C42" s="24">
        <v>111.221784</v>
      </c>
      <c r="D42" s="12">
        <v>12.244543999999999</v>
      </c>
      <c r="F42" s="16">
        <f t="shared" si="2"/>
        <v>3.6422857848180459E-3</v>
      </c>
      <c r="G42" s="11">
        <f t="shared" si="3"/>
        <v>1.1331246120843301</v>
      </c>
      <c r="H42" s="11">
        <f t="array" ref="H42">(D42-D41)/D41</f>
        <v>-1.291632378775655E-2</v>
      </c>
      <c r="I42" s="12">
        <f t="shared" si="4"/>
        <v>0.95167657926486338</v>
      </c>
      <c r="J42" s="25">
        <f t="shared" si="0"/>
        <v>0.18144803281946675</v>
      </c>
      <c r="K42" s="21" t="b">
        <f t="array" ref="K42">J42&gt;=($O$1+2*$O$2)</f>
        <v>0</v>
      </c>
      <c r="L42" s="22" t="b">
        <f t="shared" si="1"/>
        <v>0</v>
      </c>
    </row>
    <row r="43" spans="1:12" ht="16.5" thickBot="1" x14ac:dyDescent="0.5">
      <c r="A43" s="4">
        <v>40421</v>
      </c>
      <c r="B43" s="10">
        <v>32.474691999999997</v>
      </c>
      <c r="C43" s="24">
        <v>110.978426</v>
      </c>
      <c r="D43" s="12">
        <v>12.210812000000001</v>
      </c>
      <c r="F43" s="16">
        <f t="shared" si="2"/>
        <v>2.474058441812988E-3</v>
      </c>
      <c r="G43" s="11">
        <f t="shared" si="3"/>
        <v>1.1359280285964835</v>
      </c>
      <c r="H43" s="11">
        <f t="array" ref="H43">(D43-D42)/D42</f>
        <v>-2.754859633809047E-3</v>
      </c>
      <c r="I43" s="12">
        <f t="shared" si="4"/>
        <v>0.94905484387220507</v>
      </c>
      <c r="J43" s="25">
        <f t="shared" si="0"/>
        <v>0.18687318472427839</v>
      </c>
      <c r="K43" s="21" t="b">
        <f t="array" ref="K43">J43&gt;=($O$1+2*$O$2)</f>
        <v>0</v>
      </c>
      <c r="L43" s="22" t="b">
        <f t="shared" si="1"/>
        <v>0</v>
      </c>
    </row>
    <row r="44" spans="1:12" ht="16.5" thickBot="1" x14ac:dyDescent="0.5">
      <c r="A44" s="4">
        <v>40422</v>
      </c>
      <c r="B44" s="10">
        <v>33.440519000000002</v>
      </c>
      <c r="C44" s="24">
        <v>113.35788599999999</v>
      </c>
      <c r="D44" s="12">
        <v>12.657755</v>
      </c>
      <c r="F44" s="16">
        <f t="shared" si="2"/>
        <v>2.9740913324135747E-2</v>
      </c>
      <c r="G44" s="11">
        <f t="shared" si="3"/>
        <v>1.169711565637428</v>
      </c>
      <c r="H44" s="11">
        <f t="array" ref="H44">(D44-D43)/D43</f>
        <v>3.6602234151176777E-2</v>
      </c>
      <c r="I44" s="12">
        <f t="shared" si="4"/>
        <v>0.98379237148992393</v>
      </c>
      <c r="J44" s="25">
        <f t="shared" si="0"/>
        <v>0.18591919414750402</v>
      </c>
      <c r="K44" s="21" t="b">
        <f t="array" ref="K44">J44&gt;=($O$1+2*$O$2)</f>
        <v>0</v>
      </c>
      <c r="L44" s="22" t="b">
        <f t="shared" si="1"/>
        <v>0</v>
      </c>
    </row>
    <row r="45" spans="1:12" ht="16.5" thickBot="1" x14ac:dyDescent="0.5">
      <c r="A45" s="4">
        <v>40423</v>
      </c>
      <c r="B45" s="10">
        <v>33.686318999999997</v>
      </c>
      <c r="C45" s="24">
        <v>112.699933</v>
      </c>
      <c r="D45" s="12">
        <v>12.775815</v>
      </c>
      <c r="F45" s="16">
        <f t="shared" si="2"/>
        <v>7.3503643887822302E-3</v>
      </c>
      <c r="G45" s="11">
        <f t="shared" si="3"/>
        <v>1.178309371874636</v>
      </c>
      <c r="H45" s="11">
        <f t="array" ref="H45">(D45-D44)/D44</f>
        <v>9.3270884133876686E-3</v>
      </c>
      <c r="I45" s="12">
        <f t="shared" si="4"/>
        <v>0.9929682899192267</v>
      </c>
      <c r="J45" s="25">
        <f t="shared" si="0"/>
        <v>0.18534108195540933</v>
      </c>
      <c r="K45" s="21" t="b">
        <f t="array" ref="K45">J45&gt;=($O$1+2*$O$2)</f>
        <v>0</v>
      </c>
      <c r="L45" s="22" t="b">
        <f t="shared" si="1"/>
        <v>0</v>
      </c>
    </row>
    <row r="46" spans="1:12" ht="16.5" thickBot="1" x14ac:dyDescent="0.5">
      <c r="A46" s="4">
        <v>40424</v>
      </c>
      <c r="B46" s="10">
        <v>34.567979999999999</v>
      </c>
      <c r="C46" s="24">
        <v>114.98926400000001</v>
      </c>
      <c r="D46" s="12">
        <v>12.978205000000001</v>
      </c>
      <c r="F46" s="16">
        <f t="shared" si="2"/>
        <v>2.6172672650876493E-2</v>
      </c>
      <c r="G46" s="11">
        <f t="shared" si="3"/>
        <v>1.2091488773461707</v>
      </c>
      <c r="H46" s="11">
        <f t="array" ref="H46">(D46-D45)/D45</f>
        <v>1.5841650806621824E-2</v>
      </c>
      <c r="I46" s="12">
        <f t="shared" si="4"/>
        <v>1.0086985468301757</v>
      </c>
      <c r="J46" s="25">
        <f t="shared" si="0"/>
        <v>0.20045033051599503</v>
      </c>
      <c r="K46" s="21" t="b">
        <f t="array" ref="K46">J46&gt;=($O$1+2*$O$2)</f>
        <v>0</v>
      </c>
      <c r="L46" s="22" t="b">
        <f t="shared" si="1"/>
        <v>0</v>
      </c>
    </row>
    <row r="47" spans="1:12" ht="16.5" thickBot="1" x14ac:dyDescent="0.5">
      <c r="A47" s="4">
        <v>40428</v>
      </c>
      <c r="B47" s="10">
        <v>34.439742000000003</v>
      </c>
      <c r="C47" s="24">
        <v>113.520123</v>
      </c>
      <c r="D47" s="12">
        <v>13.020367999999999</v>
      </c>
      <c r="F47" s="16">
        <f t="shared" si="2"/>
        <v>-3.7097336899638358E-3</v>
      </c>
      <c r="G47" s="11">
        <f t="shared" si="3"/>
        <v>1.2046632570196976</v>
      </c>
      <c r="H47" s="11">
        <f t="array" ref="H47">(D47-D46)/D46</f>
        <v>3.248754353934047E-3</v>
      </c>
      <c r="I47" s="12">
        <f t="shared" si="4"/>
        <v>1.0119755606259973</v>
      </c>
      <c r="J47" s="25">
        <f t="shared" si="0"/>
        <v>0.19268769639370031</v>
      </c>
      <c r="K47" s="21" t="b">
        <f t="array" ref="K47">J47&gt;=($O$1+2*$O$2)</f>
        <v>0</v>
      </c>
      <c r="L47" s="22" t="b">
        <f t="shared" si="1"/>
        <v>0</v>
      </c>
    </row>
    <row r="48" spans="1:12" ht="16.5" thickBot="1" x14ac:dyDescent="0.5">
      <c r="A48" s="4">
        <v>40429</v>
      </c>
      <c r="B48" s="10">
        <v>35.122365000000002</v>
      </c>
      <c r="C48" s="24">
        <v>113.637298</v>
      </c>
      <c r="D48" s="12">
        <v>13.239623</v>
      </c>
      <c r="F48" s="16">
        <f t="shared" si="2"/>
        <v>1.9820793082596249E-2</v>
      </c>
      <c r="G48" s="11">
        <f t="shared" si="3"/>
        <v>1.2285406381712913</v>
      </c>
      <c r="H48" s="11">
        <f t="array" ref="H48">(D48-D47)/D47</f>
        <v>1.6839385799233973E-2</v>
      </c>
      <c r="I48" s="12">
        <f t="shared" si="4"/>
        <v>1.0290166075107745</v>
      </c>
      <c r="J48" s="25">
        <f t="shared" si="0"/>
        <v>0.19952403066051683</v>
      </c>
      <c r="K48" s="21" t="b">
        <f t="array" ref="K48">J48&gt;=($O$1+2*$O$2)</f>
        <v>0</v>
      </c>
      <c r="L48" s="22" t="b">
        <f t="shared" si="1"/>
        <v>0</v>
      </c>
    </row>
    <row r="49" spans="1:12" ht="16.5" thickBot="1" x14ac:dyDescent="0.5">
      <c r="A49" s="4">
        <v>40430</v>
      </c>
      <c r="B49" s="10">
        <v>35.142401</v>
      </c>
      <c r="C49" s="24">
        <v>113.889664</v>
      </c>
      <c r="D49" s="12">
        <v>13.416714000000001</v>
      </c>
      <c r="F49" s="16">
        <f t="shared" si="2"/>
        <v>5.7046272368040986E-4</v>
      </c>
      <c r="G49" s="11">
        <f t="shared" si="3"/>
        <v>1.2292414748098945</v>
      </c>
      <c r="H49" s="11">
        <f t="array" ref="H49">(D49-D48)/D48</f>
        <v>1.337583403998745E-2</v>
      </c>
      <c r="I49" s="12">
        <f t="shared" si="4"/>
        <v>1.0427805628772295</v>
      </c>
      <c r="J49" s="25">
        <f t="shared" si="0"/>
        <v>0.18646091193266501</v>
      </c>
      <c r="K49" s="21" t="b">
        <f t="array" ref="K49">J49&gt;=($O$1+2*$O$2)</f>
        <v>0</v>
      </c>
      <c r="L49" s="22" t="b">
        <f t="shared" si="1"/>
        <v>0</v>
      </c>
    </row>
    <row r="50" spans="1:12" ht="16.5" thickBot="1" x14ac:dyDescent="0.5">
      <c r="A50" s="4">
        <v>40431</v>
      </c>
      <c r="B50" s="10">
        <v>35.187821</v>
      </c>
      <c r="C50" s="24">
        <v>115.35879799999999</v>
      </c>
      <c r="D50" s="12">
        <v>13.475744000000001</v>
      </c>
      <c r="F50" s="16">
        <f t="shared" si="2"/>
        <v>1.2924558000462182E-3</v>
      </c>
      <c r="G50" s="11">
        <f t="shared" si="3"/>
        <v>1.2308302150836699</v>
      </c>
      <c r="H50" s="11">
        <f t="array" ref="H50">(D50-D49)/D49</f>
        <v>4.3997360307449287E-3</v>
      </c>
      <c r="I50" s="12">
        <f t="shared" si="4"/>
        <v>1.0473685220918809</v>
      </c>
      <c r="J50" s="25">
        <f t="shared" si="0"/>
        <v>0.18346169299178894</v>
      </c>
      <c r="K50" s="21" t="b">
        <f t="array" ref="K50">J50&gt;=($O$1+2*$O$2)</f>
        <v>0</v>
      </c>
      <c r="L50" s="22" t="b">
        <f t="shared" si="1"/>
        <v>0</v>
      </c>
    </row>
    <row r="51" spans="1:12" ht="16.5" thickBot="1" x14ac:dyDescent="0.5">
      <c r="A51" s="4">
        <v>40434</v>
      </c>
      <c r="B51" s="10">
        <v>35.672736</v>
      </c>
      <c r="C51" s="24">
        <v>116.818924</v>
      </c>
      <c r="D51" s="12">
        <v>13.703431999999999</v>
      </c>
      <c r="F51" s="16">
        <f t="shared" si="2"/>
        <v>1.3780762383666805E-2</v>
      </c>
      <c r="G51" s="11">
        <f t="shared" si="3"/>
        <v>1.2477919938123754</v>
      </c>
      <c r="H51" s="11">
        <f t="array" ref="H51">(D51-D50)/D50</f>
        <v>1.6896135753246631E-2</v>
      </c>
      <c r="I51" s="12">
        <f t="shared" si="4"/>
        <v>1.0650650028248227</v>
      </c>
      <c r="J51" s="25">
        <f t="shared" si="0"/>
        <v>0.18272699098755263</v>
      </c>
      <c r="K51" s="21" t="b">
        <f t="array" ref="K51">J51&gt;=($O$1+2*$O$2)</f>
        <v>0</v>
      </c>
      <c r="L51" s="22" t="b">
        <f t="shared" si="1"/>
        <v>0</v>
      </c>
    </row>
    <row r="52" spans="1:12" ht="16.5" thickBot="1" x14ac:dyDescent="0.5">
      <c r="A52" s="4">
        <v>40435</v>
      </c>
      <c r="B52" s="10">
        <v>35.808996999999998</v>
      </c>
      <c r="C52" s="24">
        <v>116.133933</v>
      </c>
      <c r="D52" s="12">
        <v>13.627535999999999</v>
      </c>
      <c r="F52" s="16">
        <f t="shared" si="2"/>
        <v>3.819751868766038E-3</v>
      </c>
      <c r="G52" s="11">
        <f t="shared" si="3"/>
        <v>1.2525582496125713</v>
      </c>
      <c r="H52" s="11">
        <f t="array" ref="H52">(D52-D51)/D51</f>
        <v>-5.5384665680831046E-3</v>
      </c>
      <c r="I52" s="12">
        <f t="shared" si="4"/>
        <v>1.0591661759138422</v>
      </c>
      <c r="J52" s="25">
        <f t="shared" si="0"/>
        <v>0.19339207369872913</v>
      </c>
      <c r="K52" s="21" t="b">
        <f t="array" ref="K52">J52&gt;=($O$1+2*$O$2)</f>
        <v>0</v>
      </c>
      <c r="L52" s="22" t="b">
        <f t="shared" si="1"/>
        <v>0</v>
      </c>
    </row>
    <row r="53" spans="1:12" ht="16.5" thickBot="1" x14ac:dyDescent="0.5">
      <c r="A53" s="4">
        <v>40436</v>
      </c>
      <c r="B53" s="10">
        <v>36.097541999999997</v>
      </c>
      <c r="C53" s="24">
        <v>116.65668100000001</v>
      </c>
      <c r="D53" s="12">
        <v>13.779328</v>
      </c>
      <c r="F53" s="16">
        <f t="shared" si="2"/>
        <v>8.057891149534268E-3</v>
      </c>
      <c r="G53" s="11">
        <f t="shared" si="3"/>
        <v>1.2626512276464008</v>
      </c>
      <c r="H53" s="11">
        <f t="array" ref="H53">(D53-D52)/D52</f>
        <v>1.1138624032987356E-2</v>
      </c>
      <c r="I53" s="12">
        <f t="shared" si="4"/>
        <v>1.0709638297358035</v>
      </c>
      <c r="J53" s="25">
        <f t="shared" si="0"/>
        <v>0.1916873979105973</v>
      </c>
      <c r="K53" s="21" t="b">
        <f t="array" ref="K53">J53&gt;=($O$1+2*$O$2)</f>
        <v>0</v>
      </c>
      <c r="L53" s="22" t="b">
        <f t="shared" si="1"/>
        <v>0</v>
      </c>
    </row>
    <row r="54" spans="1:12" ht="16.5" thickBot="1" x14ac:dyDescent="0.5">
      <c r="A54" s="4">
        <v>40437</v>
      </c>
      <c r="B54" s="10">
        <v>36.945807000000002</v>
      </c>
      <c r="C54" s="24">
        <v>116.873001</v>
      </c>
      <c r="D54" s="12">
        <v>13.787822999999999</v>
      </c>
      <c r="F54" s="16">
        <f t="shared" si="2"/>
        <v>2.3499245461089981E-2</v>
      </c>
      <c r="G54" s="11">
        <f t="shared" si="3"/>
        <v>1.2923225787766104</v>
      </c>
      <c r="H54" s="11">
        <f t="array" ref="H54">(D54-D53)/D53</f>
        <v>6.1650321408997005E-4</v>
      </c>
      <c r="I54" s="12">
        <f t="shared" si="4"/>
        <v>1.0716240823790097</v>
      </c>
      <c r="J54" s="25">
        <f t="shared" si="0"/>
        <v>0.22069849639760064</v>
      </c>
      <c r="K54" s="21" t="b">
        <f t="array" ref="K54">J54&gt;=($O$1+2*$O$2)</f>
        <v>0</v>
      </c>
      <c r="L54" s="22" t="b">
        <f t="shared" si="1"/>
        <v>0</v>
      </c>
    </row>
    <row r="55" spans="1:12" ht="16.5" thickBot="1" x14ac:dyDescent="0.5">
      <c r="A55" s="4">
        <v>40438</v>
      </c>
      <c r="B55" s="10">
        <v>36.785504000000003</v>
      </c>
      <c r="C55" s="24">
        <v>117.341686</v>
      </c>
      <c r="D55" s="12">
        <v>13.838796</v>
      </c>
      <c r="F55" s="16">
        <f t="shared" si="2"/>
        <v>-4.3388685487367748E-3</v>
      </c>
      <c r="G55" s="11">
        <f t="shared" si="3"/>
        <v>1.2867153609847342</v>
      </c>
      <c r="H55" s="11">
        <f t="array" ref="H55">(D55-D54)/D54</f>
        <v>3.6969578156030016E-3</v>
      </c>
      <c r="I55" s="12">
        <f t="shared" si="4"/>
        <v>1.0755858314057491</v>
      </c>
      <c r="J55" s="25">
        <f t="shared" si="0"/>
        <v>0.21112952957898501</v>
      </c>
      <c r="K55" s="21" t="b">
        <f t="array" ref="K55">J55&gt;=($O$1+2*$O$2)</f>
        <v>0</v>
      </c>
      <c r="L55" s="22" t="b">
        <f t="shared" si="1"/>
        <v>0</v>
      </c>
    </row>
    <row r="56" spans="1:12" ht="16.5" thickBot="1" x14ac:dyDescent="0.5">
      <c r="A56" s="4">
        <v>40441</v>
      </c>
      <c r="B56" s="10">
        <v>37.835490999999998</v>
      </c>
      <c r="C56" s="24">
        <v>118.783776</v>
      </c>
      <c r="D56" s="12">
        <v>14.059671</v>
      </c>
      <c r="F56" s="16">
        <f t="shared" si="2"/>
        <v>2.8543499091381059E-2</v>
      </c>
      <c r="G56" s="11">
        <f t="shared" si="3"/>
        <v>1.3234427197218681</v>
      </c>
      <c r="H56" s="11">
        <f t="array" ref="H56">(D56-D55)/D55</f>
        <v>1.5960564777456037E-2</v>
      </c>
      <c r="I56" s="12">
        <f t="shared" si="4"/>
        <v>1.0927527887416146</v>
      </c>
      <c r="J56" s="25">
        <f t="shared" si="0"/>
        <v>0.23068993098025348</v>
      </c>
      <c r="K56" s="21" t="b">
        <f t="array" ref="K56">J56&gt;=($O$1+2*$O$2)</f>
        <v>0</v>
      </c>
      <c r="L56" s="22" t="b">
        <f t="shared" si="1"/>
        <v>0</v>
      </c>
    </row>
    <row r="57" spans="1:12" ht="16.5" thickBot="1" x14ac:dyDescent="0.5">
      <c r="A57" s="4">
        <v>40442</v>
      </c>
      <c r="B57" s="10">
        <v>37.907625000000003</v>
      </c>
      <c r="C57" s="24">
        <v>118.955027</v>
      </c>
      <c r="D57" s="12">
        <v>14.034186</v>
      </c>
      <c r="F57" s="16">
        <f t="shared" si="2"/>
        <v>1.9065168204109068E-3</v>
      </c>
      <c r="G57" s="11">
        <f t="shared" si="3"/>
        <v>1.3259658855278682</v>
      </c>
      <c r="H57" s="11">
        <f t="array" ref="H57">(D57-D56)/D56</f>
        <v>-1.8126313197513483E-3</v>
      </c>
      <c r="I57" s="12">
        <f t="shared" si="4"/>
        <v>1.0907720308119959</v>
      </c>
      <c r="J57" s="25">
        <f t="shared" si="0"/>
        <v>0.23519385471587229</v>
      </c>
      <c r="K57" s="21" t="b">
        <f t="array" ref="K57">J57&gt;=($O$1+2*$O$2)</f>
        <v>0</v>
      </c>
      <c r="L57" s="22" t="b">
        <f t="shared" si="1"/>
        <v>0</v>
      </c>
    </row>
    <row r="58" spans="1:12" ht="16.5" thickBot="1" x14ac:dyDescent="0.5">
      <c r="A58" s="4">
        <v>40443</v>
      </c>
      <c r="B58" s="10">
        <v>38.439293999999997</v>
      </c>
      <c r="C58" s="24">
        <v>119.486811</v>
      </c>
      <c r="D58" s="12">
        <v>14.017196</v>
      </c>
      <c r="F58" s="16">
        <f t="shared" si="2"/>
        <v>1.4025384075103457E-2</v>
      </c>
      <c r="G58" s="11">
        <f t="shared" si="3"/>
        <v>1.3445630663428811</v>
      </c>
      <c r="H58" s="11">
        <f t="array" ref="H58">(D58-D57)/D57</f>
        <v>-1.2106152790051265E-3</v>
      </c>
      <c r="I58" s="12">
        <f t="shared" si="4"/>
        <v>1.0894515255255834</v>
      </c>
      <c r="J58" s="25">
        <f t="shared" si="0"/>
        <v>0.2551115408172977</v>
      </c>
      <c r="K58" s="21" t="b">
        <f t="array" ref="K58">J58&gt;=($O$1+2*$O$2)</f>
        <v>1</v>
      </c>
      <c r="L58" s="22" t="b">
        <f t="shared" si="1"/>
        <v>0</v>
      </c>
    </row>
    <row r="59" spans="1:12" ht="16.5" thickBot="1" x14ac:dyDescent="0.5">
      <c r="A59" s="4">
        <v>40444</v>
      </c>
      <c r="B59" s="10">
        <v>38.595595000000003</v>
      </c>
      <c r="C59" s="24">
        <v>118.675623</v>
      </c>
      <c r="D59" s="12">
        <v>13.711365000000001</v>
      </c>
      <c r="F59" s="16">
        <f t="shared" si="2"/>
        <v>4.0661776982690223E-3</v>
      </c>
      <c r="G59" s="11">
        <f t="shared" si="3"/>
        <v>1.3500302986971608</v>
      </c>
      <c r="H59" s="11">
        <f t="array" ref="H59">(D59-D58)/D58</f>
        <v>-2.1818272356325726E-2</v>
      </c>
      <c r="I59" s="12">
        <f t="shared" si="4"/>
        <v>1.0656815754226516</v>
      </c>
      <c r="J59" s="25">
        <f t="shared" si="0"/>
        <v>0.28434872327450922</v>
      </c>
      <c r="K59" s="21" t="b">
        <f t="array" ref="K59">J59&gt;=($O$1+2*$O$2)</f>
        <v>1</v>
      </c>
      <c r="L59" s="22" t="b">
        <f t="shared" si="1"/>
        <v>0</v>
      </c>
    </row>
    <row r="60" spans="1:12" ht="16.5" thickBot="1" x14ac:dyDescent="0.5">
      <c r="A60" s="4">
        <v>40445</v>
      </c>
      <c r="B60" s="10">
        <v>39.049782999999998</v>
      </c>
      <c r="C60" s="24">
        <v>120.874824</v>
      </c>
      <c r="D60" s="12">
        <v>14.153119999999999</v>
      </c>
      <c r="F60" s="16">
        <f t="shared" si="2"/>
        <v>1.1767871437141853E-2</v>
      </c>
      <c r="G60" s="11">
        <f t="shared" si="3"/>
        <v>1.3659172816884753</v>
      </c>
      <c r="H60" s="11">
        <f t="array" ref="H60">(D60-D59)/D59</f>
        <v>3.2218163545350793E-2</v>
      </c>
      <c r="I60" s="12">
        <f t="shared" si="4"/>
        <v>1.1000158787068859</v>
      </c>
      <c r="J60" s="25">
        <f t="shared" si="0"/>
        <v>0.26590140298158937</v>
      </c>
      <c r="K60" s="21" t="b">
        <f t="array" ref="K60">J60&gt;=($O$1+2*$O$2)</f>
        <v>1</v>
      </c>
      <c r="L60" s="22" t="b">
        <f t="shared" si="1"/>
        <v>0</v>
      </c>
    </row>
    <row r="61" spans="1:12" ht="16.5" thickBot="1" x14ac:dyDescent="0.5">
      <c r="A61" s="4">
        <v>40448</v>
      </c>
      <c r="B61" s="10">
        <v>38.894829999999999</v>
      </c>
      <c r="C61" s="24">
        <v>121.361526</v>
      </c>
      <c r="D61" s="12">
        <v>13.957729</v>
      </c>
      <c r="F61" s="16">
        <f t="shared" si="2"/>
        <v>-3.9680886318881467E-3</v>
      </c>
      <c r="G61" s="11">
        <f t="shared" si="3"/>
        <v>1.3604972008509078</v>
      </c>
      <c r="H61" s="11">
        <f t="array" ref="H61">(D61-D60)/D60</f>
        <v>-1.3805507195586484E-2</v>
      </c>
      <c r="I61" s="12">
        <f t="shared" si="4"/>
        <v>1.0848296015781387</v>
      </c>
      <c r="J61" s="25">
        <f t="shared" si="0"/>
        <v>0.27566759927276907</v>
      </c>
      <c r="K61" s="21" t="b">
        <f t="array" ref="K61">J61&gt;=($O$1+2*$O$2)</f>
        <v>1</v>
      </c>
      <c r="L61" s="22" t="b">
        <f t="shared" si="1"/>
        <v>0</v>
      </c>
    </row>
    <row r="62" spans="1:12" ht="16.5" thickBot="1" x14ac:dyDescent="0.5">
      <c r="A62" s="4">
        <v>40449</v>
      </c>
      <c r="B62" s="10">
        <v>38.320405999999998</v>
      </c>
      <c r="C62" s="24">
        <v>121.57784599999999</v>
      </c>
      <c r="D62" s="12">
        <v>13.966224</v>
      </c>
      <c r="F62" s="16">
        <f t="shared" si="2"/>
        <v>-1.4768646629899154E-2</v>
      </c>
      <c r="G62" s="11">
        <f t="shared" si="3"/>
        <v>1.3404044984505736</v>
      </c>
      <c r="H62" s="11">
        <f t="array" ref="H62">(D62-D61)/D61</f>
        <v>6.0862336559191826E-4</v>
      </c>
      <c r="I62" s="12">
        <f t="shared" si="4"/>
        <v>1.0854898542213449</v>
      </c>
      <c r="J62" s="25">
        <f t="shared" si="0"/>
        <v>0.25491464422922872</v>
      </c>
      <c r="K62" s="21" t="b">
        <f t="array" ref="K62">J62&gt;=($O$1+2*$O$2)</f>
        <v>1</v>
      </c>
      <c r="L62" s="22" t="b">
        <f t="shared" si="1"/>
        <v>0</v>
      </c>
    </row>
    <row r="63" spans="1:12" ht="16.5" thickBot="1" x14ac:dyDescent="0.5">
      <c r="A63" s="4">
        <v>40450</v>
      </c>
      <c r="B63" s="10">
        <v>38.388537999999997</v>
      </c>
      <c r="C63" s="24">
        <v>122.109616</v>
      </c>
      <c r="D63" s="12">
        <v>13.898262000000001</v>
      </c>
      <c r="F63" s="16">
        <f t="shared" si="2"/>
        <v>1.7779561103814644E-3</v>
      </c>
      <c r="G63" s="11">
        <f t="shared" si="3"/>
        <v>1.3427876788189765</v>
      </c>
      <c r="H63" s="11">
        <f t="array" ref="H63">(D63-D62)/D62</f>
        <v>-4.8661685506404331E-3</v>
      </c>
      <c r="I63" s="12">
        <f t="shared" si="4"/>
        <v>1.0802076776306937</v>
      </c>
      <c r="J63" s="25">
        <f t="shared" si="0"/>
        <v>0.26258000118828284</v>
      </c>
      <c r="K63" s="21" t="b">
        <f t="array" ref="K63">J63&gt;=($O$1+2*$O$2)</f>
        <v>1</v>
      </c>
      <c r="L63" s="22" t="b">
        <f t="shared" si="1"/>
        <v>0</v>
      </c>
    </row>
    <row r="64" spans="1:12" ht="16.5" thickBot="1" x14ac:dyDescent="0.5">
      <c r="A64" s="4">
        <v>40451</v>
      </c>
      <c r="B64" s="10">
        <v>37.904949999999999</v>
      </c>
      <c r="C64" s="24">
        <v>120.90186199999999</v>
      </c>
      <c r="D64" s="12">
        <v>13.804814</v>
      </c>
      <c r="F64" s="16">
        <f t="shared" si="2"/>
        <v>-1.259719763227236E-2</v>
      </c>
      <c r="G64" s="11">
        <f t="shared" si="3"/>
        <v>1.3258723170507136</v>
      </c>
      <c r="H64" s="11">
        <f t="array" ref="H64">(D64-D63)/D63</f>
        <v>-6.7237184045026935E-3</v>
      </c>
      <c r="I64" s="12">
        <f t="shared" si="4"/>
        <v>1.0729446653879231</v>
      </c>
      <c r="J64" s="25">
        <f t="shared" si="0"/>
        <v>0.25292765166279052</v>
      </c>
      <c r="K64" s="21" t="b">
        <f t="array" ref="K64">J64&gt;=($O$1+2*$O$2)</f>
        <v>1</v>
      </c>
      <c r="L64" s="22" t="b">
        <f t="shared" si="1"/>
        <v>0</v>
      </c>
    </row>
    <row r="65" spans="1:12" ht="16.5" thickBot="1" x14ac:dyDescent="0.5">
      <c r="A65" s="4">
        <v>40452</v>
      </c>
      <c r="B65" s="10">
        <v>37.740645000000001</v>
      </c>
      <c r="C65" s="24">
        <v>122.253829</v>
      </c>
      <c r="D65" s="12">
        <v>13.898262000000001</v>
      </c>
      <c r="F65" s="16">
        <f t="shared" si="2"/>
        <v>-4.3346581383169958E-3</v>
      </c>
      <c r="G65" s="11">
        <f t="shared" si="3"/>
        <v>1.3201251138212404</v>
      </c>
      <c r="H65" s="11">
        <f t="array" ref="H65">(D65-D64)/D64</f>
        <v>6.7692328197975302E-3</v>
      </c>
      <c r="I65" s="12">
        <f t="shared" si="4"/>
        <v>1.0802076776306937</v>
      </c>
      <c r="J65" s="25">
        <f t="shared" si="0"/>
        <v>0.23991743619054673</v>
      </c>
      <c r="K65" s="21" t="b">
        <f t="array" ref="K65">J65&gt;=($O$1+2*$O$2)</f>
        <v>1</v>
      </c>
      <c r="L65" s="22" t="b">
        <f t="shared" si="1"/>
        <v>0</v>
      </c>
    </row>
    <row r="66" spans="1:12" ht="16.5" thickBot="1" x14ac:dyDescent="0.5">
      <c r="A66" s="4">
        <v>40455</v>
      </c>
      <c r="B66" s="10">
        <v>37.222327</v>
      </c>
      <c r="C66" s="24">
        <v>121.90231799999999</v>
      </c>
      <c r="D66" s="12">
        <v>13.677384999999999</v>
      </c>
      <c r="F66" s="16">
        <f t="shared" si="2"/>
        <v>-1.3733681552077362E-2</v>
      </c>
      <c r="G66" s="11">
        <f t="shared" si="3"/>
        <v>1.3019949358991196</v>
      </c>
      <c r="H66" s="11">
        <f t="array" ref="H66">(D66-D65)/D65</f>
        <v>-1.5892418778693445E-2</v>
      </c>
      <c r="I66" s="12">
        <f t="shared" si="4"/>
        <v>1.0630405648498269</v>
      </c>
      <c r="J66" s="25">
        <f t="shared" si="0"/>
        <v>0.23895437104929274</v>
      </c>
      <c r="K66" s="21" t="b">
        <f t="array" ref="K66">J66&gt;=($O$1+2*$O$2)</f>
        <v>1</v>
      </c>
      <c r="L66" s="22" t="b">
        <f t="shared" si="1"/>
        <v>0</v>
      </c>
    </row>
    <row r="67" spans="1:12" ht="16.5" thickBot="1" x14ac:dyDescent="0.5">
      <c r="A67" s="4">
        <v>40456</v>
      </c>
      <c r="B67" s="10">
        <v>38.598263000000003</v>
      </c>
      <c r="C67" s="24">
        <v>124.07448100000001</v>
      </c>
      <c r="D67" s="12">
        <v>14.025691</v>
      </c>
      <c r="F67" s="16">
        <f t="shared" si="2"/>
        <v>3.6965340721443959E-2</v>
      </c>
      <c r="G67" s="11">
        <f t="shared" si="3"/>
        <v>1.350123622322225</v>
      </c>
      <c r="H67" s="11">
        <f t="array" ref="H67">(D67-D66)/D66</f>
        <v>2.546583283281131E-2</v>
      </c>
      <c r="I67" s="12">
        <f t="shared" si="4"/>
        <v>1.0901117781687899</v>
      </c>
      <c r="J67" s="25">
        <f t="shared" ref="J67:J130" si="5">(G67-I67)</f>
        <v>0.26001184415343515</v>
      </c>
      <c r="K67" s="21" t="b">
        <f t="array" ref="K67">J67&gt;=($O$1+2*$O$2)</f>
        <v>1</v>
      </c>
      <c r="L67" s="22" t="b">
        <f t="shared" ref="L67:L130" si="6">J67&lt;=(O66-2*O67)</f>
        <v>0</v>
      </c>
    </row>
    <row r="68" spans="1:12" ht="16.5" thickBot="1" x14ac:dyDescent="0.5">
      <c r="A68" s="4">
        <v>40457</v>
      </c>
      <c r="B68" s="10">
        <v>38.631661999999999</v>
      </c>
      <c r="C68" s="24">
        <v>124.23671</v>
      </c>
      <c r="D68" s="12">
        <v>14.357006</v>
      </c>
      <c r="F68" s="16">
        <f t="shared" ref="F68:F131" si="7">(B68-B67)/B67</f>
        <v>8.6529800576766198E-4</v>
      </c>
      <c r="G68" s="11">
        <f t="shared" ref="G68:G131" si="8">G67*(1+F68)</f>
        <v>1.3512918816001604</v>
      </c>
      <c r="H68" s="11">
        <f t="array" ref="H68">(D68-D67)/D67</f>
        <v>2.3622009068929296E-2</v>
      </c>
      <c r="I68" s="12">
        <f t="shared" ref="I68:I131" si="9">I67*(1+H68)</f>
        <v>1.1158624084788396</v>
      </c>
      <c r="J68" s="25">
        <f t="shared" si="5"/>
        <v>0.2354294731213209</v>
      </c>
      <c r="K68" s="21" t="b">
        <f t="array" ref="K68">J68&gt;=($O$1+2*$O$2)</f>
        <v>0</v>
      </c>
      <c r="L68" s="22" t="b">
        <f t="shared" si="6"/>
        <v>0</v>
      </c>
    </row>
    <row r="69" spans="1:12" ht="16.5" thickBot="1" x14ac:dyDescent="0.5">
      <c r="A69" s="4">
        <v>40458</v>
      </c>
      <c r="B69" s="10">
        <v>38.635665000000003</v>
      </c>
      <c r="C69" s="24">
        <v>125.02986900000001</v>
      </c>
      <c r="D69" s="12">
        <v>14.484435</v>
      </c>
      <c r="F69" s="16">
        <f t="shared" si="7"/>
        <v>1.036196682401192E-4</v>
      </c>
      <c r="G69" s="11">
        <f t="shared" si="8"/>
        <v>1.3514319020166272</v>
      </c>
      <c r="H69" s="11">
        <f t="array" ref="H69">(D69-D68)/D68</f>
        <v>8.8757363478150914E-3</v>
      </c>
      <c r="I69" s="12">
        <f t="shared" si="9"/>
        <v>1.1257665090169358</v>
      </c>
      <c r="J69" s="25">
        <f t="shared" si="5"/>
        <v>0.22566539299969146</v>
      </c>
      <c r="K69" s="21" t="b">
        <f t="array" ref="K69">J69&gt;=($O$1+2*$O$2)</f>
        <v>0</v>
      </c>
      <c r="L69" s="22" t="b">
        <f t="shared" si="6"/>
        <v>0</v>
      </c>
    </row>
    <row r="70" spans="1:12" ht="16.5" thickBot="1" x14ac:dyDescent="0.5">
      <c r="A70" s="4">
        <v>40459</v>
      </c>
      <c r="B70" s="10">
        <v>39.283557999999999</v>
      </c>
      <c r="C70" s="24">
        <v>125.147043</v>
      </c>
      <c r="D70" s="12">
        <v>14.543903</v>
      </c>
      <c r="F70" s="16">
        <f t="shared" si="7"/>
        <v>1.676929852249201E-2</v>
      </c>
      <c r="G70" s="11">
        <f t="shared" si="8"/>
        <v>1.3740944670143633</v>
      </c>
      <c r="H70" s="11">
        <f t="array" ref="H70">(D70-D69)/D69</f>
        <v>4.1056485807006446E-3</v>
      </c>
      <c r="I70" s="12">
        <f t="shared" si="9"/>
        <v>1.1303885106868816</v>
      </c>
      <c r="J70" s="25">
        <f t="shared" si="5"/>
        <v>0.24370595632748171</v>
      </c>
      <c r="K70" s="21" t="b">
        <f t="array" ref="K70">J70&gt;=($O$1+2*$O$2)</f>
        <v>1</v>
      </c>
      <c r="L70" s="22" t="b">
        <f t="shared" si="6"/>
        <v>0</v>
      </c>
    </row>
    <row r="71" spans="1:12" ht="16.5" thickBot="1" x14ac:dyDescent="0.5">
      <c r="A71" s="4">
        <v>40462</v>
      </c>
      <c r="B71" s="10">
        <v>39.455888999999999</v>
      </c>
      <c r="C71" s="24">
        <v>125.87710300000001</v>
      </c>
      <c r="D71" s="12">
        <v>14.407977000000001</v>
      </c>
      <c r="F71" s="16">
        <f t="shared" si="7"/>
        <v>4.3868480548528675E-3</v>
      </c>
      <c r="G71" s="11">
        <f t="shared" si="8"/>
        <v>1.3801224106541692</v>
      </c>
      <c r="H71" s="11">
        <f t="array" ref="H71">(D71-D70)/D70</f>
        <v>-9.345909416475038E-3</v>
      </c>
      <c r="I71" s="12">
        <f t="shared" si="9"/>
        <v>1.1198240020605779</v>
      </c>
      <c r="J71" s="25">
        <f t="shared" si="5"/>
        <v>0.26029840859359132</v>
      </c>
      <c r="K71" s="21" t="b">
        <f t="array" ref="K71">J71&gt;=($O$1+2*$O$2)</f>
        <v>1</v>
      </c>
      <c r="L71" s="22" t="b">
        <f t="shared" si="6"/>
        <v>0</v>
      </c>
    </row>
    <row r="72" spans="1:12" ht="16.5" thickBot="1" x14ac:dyDescent="0.5">
      <c r="A72" s="4">
        <v>40463</v>
      </c>
      <c r="B72" s="10">
        <v>39.880687000000002</v>
      </c>
      <c r="C72" s="24">
        <v>126.048354</v>
      </c>
      <c r="D72" s="12">
        <v>14.60337</v>
      </c>
      <c r="F72" s="16">
        <f t="shared" si="7"/>
        <v>1.0766402956983246E-2</v>
      </c>
      <c r="G72" s="11">
        <f t="shared" si="8"/>
        <v>1.3949813646572349</v>
      </c>
      <c r="H72" s="11">
        <f t="array" ref="H72">(D72-D71)/D71</f>
        <v>1.3561445857388532E-2</v>
      </c>
      <c r="I72" s="12">
        <f t="shared" si="9"/>
        <v>1.1350104346343266</v>
      </c>
      <c r="J72" s="25">
        <f t="shared" si="5"/>
        <v>0.25997093002290828</v>
      </c>
      <c r="K72" s="21" t="b">
        <f t="array" ref="K72">J72&gt;=($O$1+2*$O$2)</f>
        <v>1</v>
      </c>
      <c r="L72" s="22" t="b">
        <f t="shared" si="6"/>
        <v>0</v>
      </c>
    </row>
    <row r="73" spans="1:12" ht="16.5" thickBot="1" x14ac:dyDescent="0.5">
      <c r="A73" s="4">
        <v>40464</v>
      </c>
      <c r="B73" s="10">
        <v>40.094422000000002</v>
      </c>
      <c r="C73" s="24">
        <v>126.517026</v>
      </c>
      <c r="D73" s="12">
        <v>14.679827</v>
      </c>
      <c r="F73" s="16">
        <f t="shared" si="7"/>
        <v>5.3593610360824469E-3</v>
      </c>
      <c r="G73" s="11">
        <f t="shared" si="8"/>
        <v>1.4024575734290401</v>
      </c>
      <c r="H73" s="11">
        <f t="array" ref="H73">(D73-D72)/D72</f>
        <v>5.2355723370701114E-3</v>
      </c>
      <c r="I73" s="12">
        <f t="shared" si="9"/>
        <v>1.1409528638681838</v>
      </c>
      <c r="J73" s="25">
        <f t="shared" si="5"/>
        <v>0.26150470956085625</v>
      </c>
      <c r="K73" s="21" t="b">
        <f t="array" ref="K73">J73&gt;=($O$1+2*$O$2)</f>
        <v>1</v>
      </c>
      <c r="L73" s="22" t="b">
        <f t="shared" si="6"/>
        <v>0</v>
      </c>
    </row>
    <row r="74" spans="1:12" ht="16.5" thickBot="1" x14ac:dyDescent="0.5">
      <c r="A74" s="4">
        <v>40465</v>
      </c>
      <c r="B74" s="10">
        <v>40.384304</v>
      </c>
      <c r="C74" s="24">
        <v>127.535512</v>
      </c>
      <c r="D74" s="12">
        <v>14.577883</v>
      </c>
      <c r="F74" s="16">
        <f t="shared" si="7"/>
        <v>7.2299832630084715E-3</v>
      </c>
      <c r="G74" s="11">
        <f t="shared" si="8"/>
        <v>1.4125973182120115</v>
      </c>
      <c r="H74" s="11">
        <f t="array" ref="H74">(D74-D73)/D73</f>
        <v>-6.9444960080251349E-3</v>
      </c>
      <c r="I74" s="12">
        <f t="shared" si="9"/>
        <v>1.1330295212597064</v>
      </c>
      <c r="J74" s="25">
        <f t="shared" si="5"/>
        <v>0.27956779695230516</v>
      </c>
      <c r="K74" s="21" t="b">
        <f t="array" ref="K74">J74&gt;=($O$1+2*$O$2)</f>
        <v>1</v>
      </c>
      <c r="L74" s="22" t="b">
        <f t="shared" si="6"/>
        <v>0</v>
      </c>
    </row>
    <row r="75" spans="1:12" ht="16.5" thickBot="1" x14ac:dyDescent="0.5">
      <c r="A75" s="4">
        <v>40466</v>
      </c>
      <c r="B75" s="10">
        <v>42.044778999999998</v>
      </c>
      <c r="C75" s="24">
        <v>127.13893299999999</v>
      </c>
      <c r="D75" s="12">
        <v>13.847289</v>
      </c>
      <c r="F75" s="16">
        <f t="shared" si="7"/>
        <v>4.1116840839946087E-2</v>
      </c>
      <c r="G75" s="11">
        <f t="shared" si="8"/>
        <v>1.4706788573158693</v>
      </c>
      <c r="H75" s="11">
        <f t="array" ref="H75">(D75-D74)/D74</f>
        <v>-5.0116604722372927E-2</v>
      </c>
      <c r="I75" s="12">
        <f t="shared" si="9"/>
        <v>1.0762459286039543</v>
      </c>
      <c r="J75" s="25">
        <f t="shared" si="5"/>
        <v>0.39443292871191504</v>
      </c>
      <c r="K75" s="21" t="b">
        <f t="array" ref="K75">J75&gt;=($O$1+2*$O$2)</f>
        <v>1</v>
      </c>
      <c r="L75" s="22" t="b">
        <f t="shared" si="6"/>
        <v>0</v>
      </c>
    </row>
    <row r="76" spans="1:12" ht="16.5" thickBot="1" x14ac:dyDescent="0.5">
      <c r="A76" s="4">
        <v>40469</v>
      </c>
      <c r="B76" s="10">
        <v>42.480265000000003</v>
      </c>
      <c r="C76" s="24">
        <v>128.73425700000001</v>
      </c>
      <c r="D76" s="12">
        <v>13.804814</v>
      </c>
      <c r="F76" s="16">
        <f t="shared" si="7"/>
        <v>1.0357671281849395E-2</v>
      </c>
      <c r="G76" s="11">
        <f t="shared" si="8"/>
        <v>1.4859116654811131</v>
      </c>
      <c r="H76" s="11">
        <f t="array" ref="H76">(D76-D75)/D75</f>
        <v>-3.0673874142440154E-3</v>
      </c>
      <c r="I76" s="12">
        <f t="shared" si="9"/>
        <v>1.0729446653879231</v>
      </c>
      <c r="J76" s="25">
        <f t="shared" si="5"/>
        <v>0.41296700009318998</v>
      </c>
      <c r="K76" s="21" t="b">
        <f t="array" ref="K76">J76&gt;=($O$1+2*$O$2)</f>
        <v>1</v>
      </c>
      <c r="L76" s="22" t="b">
        <f t="shared" si="6"/>
        <v>0</v>
      </c>
    </row>
    <row r="77" spans="1:12" ht="16.5" thickBot="1" x14ac:dyDescent="0.5">
      <c r="A77" s="4">
        <v>40470</v>
      </c>
      <c r="B77" s="10">
        <v>41.343454000000001</v>
      </c>
      <c r="C77" s="24">
        <v>124.407962</v>
      </c>
      <c r="D77" s="12">
        <v>13.651899</v>
      </c>
      <c r="F77" s="16">
        <f t="shared" si="7"/>
        <v>-2.6760920629850155E-2</v>
      </c>
      <c r="G77" s="11">
        <f t="shared" si="8"/>
        <v>1.4461473013382047</v>
      </c>
      <c r="H77" s="11">
        <f t="array" ref="H77">(D77-D76)/D76</f>
        <v>-1.1076933017713975E-2</v>
      </c>
      <c r="I77" s="12">
        <f t="shared" si="9"/>
        <v>1.0610597291977075</v>
      </c>
      <c r="J77" s="25">
        <f t="shared" si="5"/>
        <v>0.38508757214049716</v>
      </c>
      <c r="K77" s="21" t="b">
        <f t="array" ref="K77">J77&gt;=($O$1+2*$O$2)</f>
        <v>1</v>
      </c>
      <c r="L77" s="22" t="b">
        <f t="shared" si="6"/>
        <v>0</v>
      </c>
    </row>
    <row r="78" spans="1:12" ht="16.5" thickBot="1" x14ac:dyDescent="0.5">
      <c r="A78" s="4">
        <v>40471</v>
      </c>
      <c r="B78" s="10">
        <v>41.482382999999999</v>
      </c>
      <c r="C78" s="24">
        <v>125.345333</v>
      </c>
      <c r="D78" s="12">
        <v>13.634907999999999</v>
      </c>
      <c r="F78" s="16">
        <f t="shared" si="7"/>
        <v>3.3603626828082002E-3</v>
      </c>
      <c r="G78" s="11">
        <f t="shared" si="8"/>
        <v>1.4510068807634655</v>
      </c>
      <c r="H78" s="11">
        <f t="array" ref="H78">(D78-D77)/D77</f>
        <v>-1.2445887564800228E-3</v>
      </c>
      <c r="I78" s="12">
        <f t="shared" si="9"/>
        <v>1.0597391461887944</v>
      </c>
      <c r="J78" s="25">
        <f t="shared" si="5"/>
        <v>0.39126773457467112</v>
      </c>
      <c r="K78" s="21" t="b">
        <f t="array" ref="K78">J78&gt;=($O$1+2*$O$2)</f>
        <v>1</v>
      </c>
      <c r="L78" s="22" t="b">
        <f t="shared" si="6"/>
        <v>0</v>
      </c>
    </row>
    <row r="79" spans="1:12" ht="16.5" thickBot="1" x14ac:dyDescent="0.5">
      <c r="A79" s="4">
        <v>40472</v>
      </c>
      <c r="B79" s="10">
        <v>41.347456999999999</v>
      </c>
      <c r="C79" s="24">
        <v>126.03032399999999</v>
      </c>
      <c r="D79" s="12">
        <v>13.677384999999999</v>
      </c>
      <c r="F79" s="16">
        <f t="shared" si="7"/>
        <v>-3.2526096680607791E-3</v>
      </c>
      <c r="G79" s="11">
        <f t="shared" si="8"/>
        <v>1.4462873217546717</v>
      </c>
      <c r="H79" s="11">
        <f t="array" ref="H79">(D79-D78)/D78</f>
        <v>3.1153125492302462E-3</v>
      </c>
      <c r="I79" s="12">
        <f t="shared" si="9"/>
        <v>1.0630405648498269</v>
      </c>
      <c r="J79" s="25">
        <f t="shared" si="5"/>
        <v>0.38324675690484478</v>
      </c>
      <c r="K79" s="21" t="b">
        <f t="array" ref="K79">J79&gt;=($O$1+2*$O$2)</f>
        <v>1</v>
      </c>
      <c r="L79" s="22" t="b">
        <f t="shared" si="6"/>
        <v>0</v>
      </c>
    </row>
    <row r="80" spans="1:12" ht="16.5" thickBot="1" x14ac:dyDescent="0.5">
      <c r="A80" s="4">
        <v>40473</v>
      </c>
      <c r="B80" s="10">
        <v>41.073611999999997</v>
      </c>
      <c r="C80" s="24">
        <v>125.886111</v>
      </c>
      <c r="D80" s="12">
        <v>13.643402999999999</v>
      </c>
      <c r="F80" s="16">
        <f t="shared" si="7"/>
        <v>-6.6230191617346976E-3</v>
      </c>
      <c r="G80" s="11">
        <f t="shared" si="8"/>
        <v>1.4367085331093166</v>
      </c>
      <c r="H80" s="11">
        <f t="array" ref="H80">(D80-D79)/D79</f>
        <v>-2.4845392595148823E-3</v>
      </c>
      <c r="I80" s="12">
        <f t="shared" si="9"/>
        <v>1.0603993988320006</v>
      </c>
      <c r="J80" s="25">
        <f t="shared" si="5"/>
        <v>0.37630913427731594</v>
      </c>
      <c r="K80" s="21" t="b">
        <f t="array" ref="K80">J80&gt;=($O$1+2*$O$2)</f>
        <v>1</v>
      </c>
      <c r="L80" s="22" t="b">
        <f t="shared" si="6"/>
        <v>0</v>
      </c>
    </row>
    <row r="81" spans="1:12" ht="16.5" thickBot="1" x14ac:dyDescent="0.5">
      <c r="A81" s="4">
        <v>40476</v>
      </c>
      <c r="B81" s="10">
        <v>41.256619999999998</v>
      </c>
      <c r="C81" s="24">
        <v>126.039333</v>
      </c>
      <c r="D81" s="12">
        <v>13.643402999999999</v>
      </c>
      <c r="F81" s="16">
        <f t="shared" si="7"/>
        <v>4.4556100885405686E-3</v>
      </c>
      <c r="G81" s="11">
        <f t="shared" si="8"/>
        <v>1.4431099461437309</v>
      </c>
      <c r="H81" s="11">
        <f t="array" ref="H81">(D81-D80)/D80</f>
        <v>0</v>
      </c>
      <c r="I81" s="12">
        <f t="shared" si="9"/>
        <v>1.0603993988320006</v>
      </c>
      <c r="J81" s="25">
        <f t="shared" si="5"/>
        <v>0.38271054731173026</v>
      </c>
      <c r="K81" s="21" t="b">
        <f t="array" ref="K81">J81&gt;=($O$1+2*$O$2)</f>
        <v>1</v>
      </c>
      <c r="L81" s="22" t="b">
        <f t="shared" si="6"/>
        <v>0</v>
      </c>
    </row>
    <row r="82" spans="1:12" ht="16.5" thickBot="1" x14ac:dyDescent="0.5">
      <c r="A82" s="4">
        <v>40477</v>
      </c>
      <c r="B82" s="10">
        <v>41.151085999999999</v>
      </c>
      <c r="C82" s="24">
        <v>126.78742200000001</v>
      </c>
      <c r="D82" s="12">
        <v>13.728356</v>
      </c>
      <c r="F82" s="16">
        <f t="shared" si="7"/>
        <v>-2.5579894814456126E-3</v>
      </c>
      <c r="G82" s="11">
        <f t="shared" si="8"/>
        <v>1.4394184860809258</v>
      </c>
      <c r="H82" s="11">
        <f t="array" ref="H82">(D82-D81)/D81</f>
        <v>6.2266723338745113E-3</v>
      </c>
      <c r="I82" s="12">
        <f t="shared" si="9"/>
        <v>1.067002158431565</v>
      </c>
      <c r="J82" s="25">
        <f t="shared" si="5"/>
        <v>0.37241632764936083</v>
      </c>
      <c r="K82" s="21" t="b">
        <f t="array" ref="K82">J82&gt;=($O$1+2*$O$2)</f>
        <v>1</v>
      </c>
      <c r="L82" s="22" t="b">
        <f t="shared" si="6"/>
        <v>0</v>
      </c>
    </row>
    <row r="83" spans="1:12" ht="16.5" thickBot="1" x14ac:dyDescent="0.5">
      <c r="A83" s="4">
        <v>40478</v>
      </c>
      <c r="B83" s="10">
        <v>41.121696999999998</v>
      </c>
      <c r="C83" s="24">
        <v>127.472414</v>
      </c>
      <c r="D83" s="12">
        <v>13.685881</v>
      </c>
      <c r="F83" s="16">
        <f t="shared" si="7"/>
        <v>-7.1417313263620521E-4</v>
      </c>
      <c r="G83" s="11">
        <f t="shared" si="8"/>
        <v>1.4383904920715469</v>
      </c>
      <c r="H83" s="11">
        <f t="array" ref="H83">(D83-D82)/D82</f>
        <v>-3.0939611414505567E-3</v>
      </c>
      <c r="I83" s="12">
        <f t="shared" si="9"/>
        <v>1.0637008952155338</v>
      </c>
      <c r="J83" s="25">
        <f t="shared" si="5"/>
        <v>0.37468959685601311</v>
      </c>
      <c r="K83" s="21" t="b">
        <f t="array" ref="K83">J83&gt;=($O$1+2*$O$2)</f>
        <v>1</v>
      </c>
      <c r="L83" s="22" t="b">
        <f t="shared" si="6"/>
        <v>0</v>
      </c>
    </row>
    <row r="84" spans="1:12" ht="16.5" thickBot="1" x14ac:dyDescent="0.5">
      <c r="A84" s="4">
        <v>40479</v>
      </c>
      <c r="B84" s="10">
        <v>40.775706999999997</v>
      </c>
      <c r="C84" s="24">
        <v>126.99472</v>
      </c>
      <c r="D84" s="12">
        <v>13.660394</v>
      </c>
      <c r="F84" s="16">
        <f t="shared" si="7"/>
        <v>-8.4138064632887227E-3</v>
      </c>
      <c r="G84" s="11">
        <f t="shared" si="8"/>
        <v>1.4262881528526223</v>
      </c>
      <c r="H84" s="11">
        <f t="array" ref="H84">(D84-D83)/D83</f>
        <v>-1.8622842036986904E-3</v>
      </c>
      <c r="I84" s="12">
        <f t="shared" si="9"/>
        <v>1.0617199818409138</v>
      </c>
      <c r="J84" s="25">
        <f t="shared" si="5"/>
        <v>0.36456817101170857</v>
      </c>
      <c r="K84" s="21" t="b">
        <f t="array" ref="K84">J84&gt;=($O$1+2*$O$2)</f>
        <v>1</v>
      </c>
      <c r="L84" s="22" t="b">
        <f t="shared" si="6"/>
        <v>0</v>
      </c>
    </row>
    <row r="85" spans="1:12" ht="16.5" thickBot="1" x14ac:dyDescent="0.5">
      <c r="A85" s="4">
        <v>40480</v>
      </c>
      <c r="B85" s="10">
        <v>40.206632999999997</v>
      </c>
      <c r="C85" s="24">
        <v>129.428271</v>
      </c>
      <c r="D85" s="12">
        <v>13.609423</v>
      </c>
      <c r="F85" s="16">
        <f t="shared" si="7"/>
        <v>-1.3956201912084579E-2</v>
      </c>
      <c r="G85" s="11">
        <f t="shared" si="8"/>
        <v>1.4063825874065969</v>
      </c>
      <c r="H85" s="11">
        <f t="array" ref="H85">(D85-D84)/D84</f>
        <v>-3.7312979406011674E-3</v>
      </c>
      <c r="I85" s="12">
        <f t="shared" si="9"/>
        <v>1.0577583882591757</v>
      </c>
      <c r="J85" s="25">
        <f t="shared" si="5"/>
        <v>0.34862419914742127</v>
      </c>
      <c r="K85" s="21" t="b">
        <f t="array" ref="K85">J85&gt;=($O$1+2*$O$2)</f>
        <v>1</v>
      </c>
      <c r="L85" s="22" t="b">
        <f t="shared" si="6"/>
        <v>0</v>
      </c>
    </row>
    <row r="86" spans="1:12" ht="16.5" thickBot="1" x14ac:dyDescent="0.5">
      <c r="A86" s="4">
        <v>40483</v>
      </c>
      <c r="B86" s="10">
        <v>40.634113999999997</v>
      </c>
      <c r="C86" s="24">
        <v>129.175905</v>
      </c>
      <c r="D86" s="12">
        <v>13.549956</v>
      </c>
      <c r="F86" s="16">
        <f t="shared" si="7"/>
        <v>1.0632101424657973E-2</v>
      </c>
      <c r="G86" s="11">
        <f t="shared" si="8"/>
        <v>1.4213353897177767</v>
      </c>
      <c r="H86" s="11">
        <f t="array" ref="H86">(D86-D85)/D85</f>
        <v>-4.3695460123474531E-3</v>
      </c>
      <c r="I86" s="12">
        <f t="shared" si="9"/>
        <v>1.0531364643117307</v>
      </c>
      <c r="J86" s="25">
        <f t="shared" si="5"/>
        <v>0.36819892540604604</v>
      </c>
      <c r="K86" s="21" t="b">
        <f t="array" ref="K86">J86&gt;=($O$1+2*$O$2)</f>
        <v>1</v>
      </c>
      <c r="L86" s="22" t="b">
        <f t="shared" si="6"/>
        <v>0</v>
      </c>
    </row>
    <row r="87" spans="1:12" ht="16.5" thickBot="1" x14ac:dyDescent="0.5">
      <c r="A87" s="4">
        <v>40484</v>
      </c>
      <c r="B87" s="10">
        <v>41.326089000000003</v>
      </c>
      <c r="C87" s="24">
        <v>129.644577</v>
      </c>
      <c r="D87" s="12">
        <v>13.541460000000001</v>
      </c>
      <c r="F87" s="16">
        <f t="shared" si="7"/>
        <v>1.7029410312724095E-2</v>
      </c>
      <c r="G87" s="11">
        <f t="shared" si="8"/>
        <v>1.4455398932612764</v>
      </c>
      <c r="H87" s="11">
        <f t="array" ref="H87">(D87-D86)/D86</f>
        <v>-6.2701310616795881E-4</v>
      </c>
      <c r="I87" s="12">
        <f t="shared" si="9"/>
        <v>1.0524761339460238</v>
      </c>
      <c r="J87" s="25">
        <f t="shared" si="5"/>
        <v>0.39306375931525261</v>
      </c>
      <c r="K87" s="21" t="b">
        <f t="array" ref="K87">J87&gt;=($O$1+2*$O$2)</f>
        <v>1</v>
      </c>
      <c r="L87" s="22" t="b">
        <f t="shared" si="6"/>
        <v>0</v>
      </c>
    </row>
    <row r="88" spans="1:12" ht="16.5" thickBot="1" x14ac:dyDescent="0.5">
      <c r="A88" s="4">
        <v>40485</v>
      </c>
      <c r="B88" s="10">
        <v>41.785617000000002</v>
      </c>
      <c r="C88" s="24">
        <v>129.94201100000001</v>
      </c>
      <c r="D88" s="12">
        <v>13.643402999999999</v>
      </c>
      <c r="F88" s="16">
        <f t="shared" si="7"/>
        <v>1.1119561785776505E-2</v>
      </c>
      <c r="G88" s="11">
        <f t="shared" si="8"/>
        <v>1.4616136634181998</v>
      </c>
      <c r="H88" s="11">
        <f t="array" ref="H88">(D88-D87)/D87</f>
        <v>7.5282133536559983E-3</v>
      </c>
      <c r="I88" s="12">
        <f t="shared" si="9"/>
        <v>1.0603993988320006</v>
      </c>
      <c r="J88" s="25">
        <f t="shared" si="5"/>
        <v>0.40121426458619913</v>
      </c>
      <c r="K88" s="21" t="b">
        <f t="array" ref="K88">J88&gt;=($O$1+2*$O$2)</f>
        <v>1</v>
      </c>
      <c r="L88" s="22" t="b">
        <f t="shared" si="6"/>
        <v>0</v>
      </c>
    </row>
    <row r="89" spans="1:12" ht="16.5" thickBot="1" x14ac:dyDescent="0.5">
      <c r="A89" s="4">
        <v>40486</v>
      </c>
      <c r="B89" s="10">
        <v>42.516331999999998</v>
      </c>
      <c r="C89" s="24">
        <v>132.30344099999999</v>
      </c>
      <c r="D89" s="12">
        <v>14.025691</v>
      </c>
      <c r="F89" s="16">
        <f t="shared" si="7"/>
        <v>1.7487237295072042E-2</v>
      </c>
      <c r="G89" s="11">
        <f t="shared" si="8"/>
        <v>1.4871732483841134</v>
      </c>
      <c r="H89" s="11">
        <f t="array" ref="H89">(D89-D88)/D88</f>
        <v>2.8019988854686831E-2</v>
      </c>
      <c r="I89" s="12">
        <f t="shared" si="9"/>
        <v>1.0901117781687899</v>
      </c>
      <c r="J89" s="25">
        <f t="shared" si="5"/>
        <v>0.39706147021532345</v>
      </c>
      <c r="K89" s="21" t="b">
        <f t="array" ref="K89">J89&gt;=($O$1+2*$O$2)</f>
        <v>1</v>
      </c>
      <c r="L89" s="22" t="b">
        <f t="shared" si="6"/>
        <v>0</v>
      </c>
    </row>
    <row r="90" spans="1:12" ht="16.5" thickBot="1" x14ac:dyDescent="0.5">
      <c r="A90" s="4">
        <v>40487</v>
      </c>
      <c r="B90" s="10">
        <v>42.364051000000003</v>
      </c>
      <c r="C90" s="24">
        <v>132.420616</v>
      </c>
      <c r="D90" s="12">
        <v>14.212586</v>
      </c>
      <c r="F90" s="16">
        <f t="shared" si="7"/>
        <v>-3.5817059665446916E-3</v>
      </c>
      <c r="G90" s="11">
        <f t="shared" si="8"/>
        <v>1.4818466310870904</v>
      </c>
      <c r="H90" s="11">
        <f t="array" ref="H90">(D90-D89)/D89</f>
        <v>1.3325190181360748E-2</v>
      </c>
      <c r="I90" s="12">
        <f t="shared" si="9"/>
        <v>1.1046377249318302</v>
      </c>
      <c r="J90" s="25">
        <f t="shared" si="5"/>
        <v>0.37720890615526015</v>
      </c>
      <c r="K90" s="21" t="b">
        <f t="array" ref="K90">J90&gt;=($O$1+2*$O$2)</f>
        <v>1</v>
      </c>
      <c r="L90" s="22" t="b">
        <f t="shared" si="6"/>
        <v>0</v>
      </c>
    </row>
    <row r="91" spans="1:12" ht="16.5" thickBot="1" x14ac:dyDescent="0.5">
      <c r="A91" s="4">
        <v>40490</v>
      </c>
      <c r="B91" s="10">
        <v>42.563085999999998</v>
      </c>
      <c r="C91" s="24">
        <v>132.59263000000001</v>
      </c>
      <c r="D91" s="12">
        <v>14.195595000000001</v>
      </c>
      <c r="F91" s="16">
        <f t="shared" si="7"/>
        <v>4.6982050890268957E-3</v>
      </c>
      <c r="G91" s="11">
        <f t="shared" si="8"/>
        <v>1.4888086504704212</v>
      </c>
      <c r="H91" s="11">
        <f t="array" ref="H91">(D91-D90)/D90</f>
        <v>-1.195489687802001E-3</v>
      </c>
      <c r="I91" s="12">
        <f t="shared" si="9"/>
        <v>1.1033171419229171</v>
      </c>
      <c r="J91" s="25">
        <f t="shared" si="5"/>
        <v>0.38549150854750414</v>
      </c>
      <c r="K91" s="21" t="b">
        <f t="array" ref="K91">J91&gt;=($O$1+2*$O$2)</f>
        <v>1</v>
      </c>
      <c r="L91" s="22" t="b">
        <f t="shared" si="6"/>
        <v>0</v>
      </c>
    </row>
    <row r="92" spans="1:12" ht="16.5" thickBot="1" x14ac:dyDescent="0.5">
      <c r="A92" s="4">
        <v>40491</v>
      </c>
      <c r="B92" s="10">
        <v>42.223784999999999</v>
      </c>
      <c r="C92" s="24">
        <v>132.30292299999999</v>
      </c>
      <c r="D92" s="12">
        <v>14.119139000000001</v>
      </c>
      <c r="F92" s="16">
        <f t="shared" si="7"/>
        <v>-7.9717199077153147E-3</v>
      </c>
      <c r="G92" s="11">
        <f t="shared" si="8"/>
        <v>1.4769402849126874</v>
      </c>
      <c r="H92" s="11">
        <f t="array" ref="H92">(D92-D91)/D91</f>
        <v>-5.3858961177745837E-3</v>
      </c>
      <c r="I92" s="12">
        <f t="shared" si="9"/>
        <v>1.0973747904115603</v>
      </c>
      <c r="J92" s="25">
        <f t="shared" si="5"/>
        <v>0.37956549450112709</v>
      </c>
      <c r="K92" s="21" t="b">
        <f t="array" ref="K92">J92&gt;=($O$1+2*$O$2)</f>
        <v>1</v>
      </c>
      <c r="L92" s="22" t="b">
        <f t="shared" si="6"/>
        <v>0</v>
      </c>
    </row>
    <row r="93" spans="1:12" ht="16.5" thickBot="1" x14ac:dyDescent="0.5">
      <c r="A93" s="4">
        <v>40492</v>
      </c>
      <c r="B93" s="10">
        <v>42.484278000000003</v>
      </c>
      <c r="C93" s="24">
        <v>132.67410599999999</v>
      </c>
      <c r="D93" s="12">
        <v>14.059671</v>
      </c>
      <c r="F93" s="16">
        <f t="shared" si="7"/>
        <v>6.1693427057759945E-3</v>
      </c>
      <c r="G93" s="11">
        <f t="shared" si="8"/>
        <v>1.4860520356862803</v>
      </c>
      <c r="H93" s="11">
        <f t="array" ref="H93">(D93-D92)/D92</f>
        <v>-4.2118715595901943E-3</v>
      </c>
      <c r="I93" s="12">
        <f t="shared" si="9"/>
        <v>1.0927527887416144</v>
      </c>
      <c r="J93" s="25">
        <f t="shared" si="5"/>
        <v>0.39329924694466589</v>
      </c>
      <c r="K93" s="21" t="b">
        <f t="array" ref="K93">J93&gt;=($O$1+2*$O$2)</f>
        <v>1</v>
      </c>
      <c r="L93" s="22" t="b">
        <f t="shared" si="6"/>
        <v>0</v>
      </c>
    </row>
    <row r="94" spans="1:12" ht="16.5" thickBot="1" x14ac:dyDescent="0.5">
      <c r="A94" s="4">
        <v>40493</v>
      </c>
      <c r="B94" s="10">
        <v>42.299922000000002</v>
      </c>
      <c r="C94" s="24">
        <v>131.66014200000001</v>
      </c>
      <c r="D94" s="12">
        <v>13.889767000000001</v>
      </c>
      <c r="F94" s="16">
        <f t="shared" si="7"/>
        <v>-4.3393935045807075E-3</v>
      </c>
      <c r="G94" s="11">
        <f t="shared" si="8"/>
        <v>1.4796034711351544</v>
      </c>
      <c r="H94" s="11">
        <f t="array" ref="H94">(D94-D93)/D93</f>
        <v>-1.2084493300020958E-2</v>
      </c>
      <c r="I94" s="12">
        <f t="shared" si="9"/>
        <v>1.0795474249874872</v>
      </c>
      <c r="J94" s="25">
        <f t="shared" si="5"/>
        <v>0.40005604614766721</v>
      </c>
      <c r="K94" s="21" t="b">
        <f t="array" ref="K94">J94&gt;=($O$1+2*$O$2)</f>
        <v>1</v>
      </c>
      <c r="L94" s="22" t="b">
        <f t="shared" si="6"/>
        <v>0</v>
      </c>
    </row>
    <row r="95" spans="1:12" ht="16.5" thickBot="1" x14ac:dyDescent="0.5">
      <c r="A95" s="4">
        <v>40494</v>
      </c>
      <c r="B95" s="10">
        <v>41.148421999999997</v>
      </c>
      <c r="C95" s="24">
        <v>130.130169</v>
      </c>
      <c r="D95" s="12">
        <v>13.804814</v>
      </c>
      <c r="F95" s="16">
        <f t="shared" si="7"/>
        <v>-2.7222272419320435E-2</v>
      </c>
      <c r="G95" s="11">
        <f t="shared" si="8"/>
        <v>1.4393253023713413</v>
      </c>
      <c r="H95" s="11">
        <f t="array" ref="H95">(D95-D94)/D94</f>
        <v>-6.1162293075182972E-3</v>
      </c>
      <c r="I95" s="12">
        <f t="shared" si="9"/>
        <v>1.0729446653879229</v>
      </c>
      <c r="J95" s="25">
        <f t="shared" si="5"/>
        <v>0.36638063698341838</v>
      </c>
      <c r="K95" s="21" t="b">
        <f t="array" ref="K95">J95&gt;=($O$1+2*$O$2)</f>
        <v>1</v>
      </c>
      <c r="L95" s="22" t="b">
        <f t="shared" si="6"/>
        <v>0</v>
      </c>
    </row>
    <row r="96" spans="1:12" ht="16.5" thickBot="1" x14ac:dyDescent="0.5">
      <c r="A96" s="4">
        <v>40497</v>
      </c>
      <c r="B96" s="10">
        <v>41.016171</v>
      </c>
      <c r="C96" s="24">
        <v>130.03963200000001</v>
      </c>
      <c r="D96" s="12">
        <v>13.762338</v>
      </c>
      <c r="F96" s="16">
        <f t="shared" si="7"/>
        <v>-3.2139993120513001E-3</v>
      </c>
      <c r="G96" s="11">
        <f t="shared" si="8"/>
        <v>1.4346993118397016</v>
      </c>
      <c r="H96" s="11">
        <f t="array" ref="H96">(D96-D95)/D95</f>
        <v>-3.0768976677266803E-3</v>
      </c>
      <c r="I96" s="12">
        <f t="shared" si="9"/>
        <v>1.069643324449391</v>
      </c>
      <c r="J96" s="25">
        <f t="shared" si="5"/>
        <v>0.36505598739031053</v>
      </c>
      <c r="K96" s="21" t="b">
        <f t="array" ref="K96">J96&gt;=($O$1+2*$O$2)</f>
        <v>1</v>
      </c>
      <c r="L96" s="22" t="b">
        <f t="shared" si="6"/>
        <v>0</v>
      </c>
    </row>
    <row r="97" spans="1:12" s="55" customFormat="1" ht="16.5" thickBot="1" x14ac:dyDescent="0.5">
      <c r="A97" s="51">
        <v>40498</v>
      </c>
      <c r="B97" s="52">
        <v>40.288128</v>
      </c>
      <c r="C97" s="53">
        <v>128.77219500000001</v>
      </c>
      <c r="D97" s="54">
        <v>13.473497999999999</v>
      </c>
      <c r="F97" s="16">
        <f t="shared" si="7"/>
        <v>-1.7750145424349814E-2</v>
      </c>
      <c r="G97" s="11">
        <f t="shared" si="8"/>
        <v>1.4092331904143323</v>
      </c>
      <c r="H97" s="11">
        <f t="array" ref="H97">(D97-D96)/D96</f>
        <v>-2.0987712988883172E-2</v>
      </c>
      <c r="I97" s="12">
        <f t="shared" si="9"/>
        <v>1.0471939573553724</v>
      </c>
      <c r="J97" s="25">
        <f t="shared" si="5"/>
        <v>0.36203923305895991</v>
      </c>
      <c r="K97" s="21" t="b">
        <f t="array" ref="K97">J97&gt;=($O$1+2*$O$2)</f>
        <v>1</v>
      </c>
      <c r="L97" s="22" t="b">
        <f t="shared" si="6"/>
        <v>0</v>
      </c>
    </row>
    <row r="98" spans="1:12" ht="16.5" thickBot="1" x14ac:dyDescent="0.5">
      <c r="A98" s="4">
        <v>40499</v>
      </c>
      <c r="B98" s="10">
        <v>40.142513999999998</v>
      </c>
      <c r="C98" s="24">
        <v>128.50964500000001</v>
      </c>
      <c r="D98" s="12">
        <v>13.431022</v>
      </c>
      <c r="F98" s="16">
        <f t="shared" si="7"/>
        <v>-3.6143153635731576E-3</v>
      </c>
      <c r="G98" s="11">
        <f t="shared" si="8"/>
        <v>1.4041397772433606</v>
      </c>
      <c r="H98" s="11">
        <f t="array" ref="H98">(D98-D97)/D97</f>
        <v>-3.1525591943531552E-3</v>
      </c>
      <c r="I98" s="12">
        <f t="shared" si="9"/>
        <v>1.0438926164168405</v>
      </c>
      <c r="J98" s="25">
        <f t="shared" si="5"/>
        <v>0.36024716082652009</v>
      </c>
      <c r="K98" s="21" t="b">
        <f t="array" ref="K98">J98&gt;=($O$1+2*$O$2)</f>
        <v>1</v>
      </c>
      <c r="L98" s="22" t="b">
        <f t="shared" si="6"/>
        <v>0</v>
      </c>
    </row>
    <row r="99" spans="1:12" ht="16.5" thickBot="1" x14ac:dyDescent="0.5">
      <c r="A99" s="4">
        <v>40500</v>
      </c>
      <c r="B99" s="10">
        <v>41.201853999999997</v>
      </c>
      <c r="C99" s="24">
        <v>130.691461</v>
      </c>
      <c r="D99" s="12">
        <v>13.626414</v>
      </c>
      <c r="F99" s="16">
        <f t="shared" si="7"/>
        <v>2.6389478247426129E-2</v>
      </c>
      <c r="G99" s="11">
        <f t="shared" si="8"/>
        <v>1.44119429335127</v>
      </c>
      <c r="H99" s="11">
        <f t="array" ref="H99">(D99-D98)/D98</f>
        <v>1.4547813263949683E-2</v>
      </c>
      <c r="I99" s="12">
        <f t="shared" si="9"/>
        <v>1.0590789712680884</v>
      </c>
      <c r="J99" s="25">
        <f t="shared" si="5"/>
        <v>0.38211532208318166</v>
      </c>
      <c r="K99" s="21" t="b">
        <f t="array" ref="K99">J99&gt;=($O$1+2*$O$2)</f>
        <v>1</v>
      </c>
      <c r="L99" s="22" t="b">
        <f t="shared" si="6"/>
        <v>0</v>
      </c>
    </row>
    <row r="100" spans="1:12" ht="16.5" thickBot="1" x14ac:dyDescent="0.5">
      <c r="A100" s="4">
        <v>40501</v>
      </c>
      <c r="B100" s="10">
        <v>40.974753</v>
      </c>
      <c r="C100" s="24">
        <v>131.31613100000001</v>
      </c>
      <c r="D100" s="12">
        <v>13.779327</v>
      </c>
      <c r="F100" s="16">
        <f t="shared" si="7"/>
        <v>-5.511912158127583E-3</v>
      </c>
      <c r="G100" s="11">
        <f t="shared" si="8"/>
        <v>1.433250557003523</v>
      </c>
      <c r="H100" s="11">
        <f t="array" ref="H100">(D100-D99)/D99</f>
        <v>1.122180787990148E-2</v>
      </c>
      <c r="I100" s="12">
        <f t="shared" si="9"/>
        <v>1.0709637520133026</v>
      </c>
      <c r="J100" s="25">
        <f t="shared" si="5"/>
        <v>0.36228680499022037</v>
      </c>
      <c r="K100" s="21" t="b">
        <f t="array" ref="K100">J100&gt;=($O$1+2*$O$2)</f>
        <v>1</v>
      </c>
      <c r="L100" s="22" t="b">
        <f t="shared" si="6"/>
        <v>0</v>
      </c>
    </row>
    <row r="101" spans="1:12" ht="16.5" thickBot="1" x14ac:dyDescent="0.5">
      <c r="A101" s="4">
        <v>40504</v>
      </c>
      <c r="B101" s="10">
        <v>41.860422999999997</v>
      </c>
      <c r="C101" s="24">
        <v>131.62393499999999</v>
      </c>
      <c r="D101" s="12">
        <v>13.617918</v>
      </c>
      <c r="F101" s="16">
        <f t="shared" si="7"/>
        <v>2.1615017423045783E-2</v>
      </c>
      <c r="G101" s="11">
        <f t="shared" si="8"/>
        <v>1.4642302927647444</v>
      </c>
      <c r="H101" s="11">
        <f t="array" ref="H101">(D101-D100)/D100</f>
        <v>-1.1713852207731247E-2</v>
      </c>
      <c r="I101" s="12">
        <f t="shared" si="9"/>
        <v>1.0584186409023815</v>
      </c>
      <c r="J101" s="25">
        <f t="shared" si="5"/>
        <v>0.4058116518623629</v>
      </c>
      <c r="K101" s="21" t="b">
        <f t="array" ref="K101">J101&gt;=($O$1+2*$O$2)</f>
        <v>1</v>
      </c>
      <c r="L101" s="22" t="b">
        <f t="shared" si="6"/>
        <v>0</v>
      </c>
    </row>
    <row r="102" spans="1:12" ht="16.5" thickBot="1" x14ac:dyDescent="0.5">
      <c r="A102" s="4">
        <v>40505</v>
      </c>
      <c r="B102" s="10">
        <v>41.241930000000004</v>
      </c>
      <c r="C102" s="24">
        <v>129.62317999999999</v>
      </c>
      <c r="D102" s="12">
        <v>13.388546</v>
      </c>
      <c r="F102" s="16">
        <f t="shared" si="7"/>
        <v>-1.4775125420973262E-2</v>
      </c>
      <c r="G102" s="11">
        <f t="shared" si="8"/>
        <v>1.442596106543957</v>
      </c>
      <c r="H102" s="11">
        <f t="array" ref="H102">(D102-D101)/D101</f>
        <v>-1.6843397059667982E-2</v>
      </c>
      <c r="I102" s="12">
        <f t="shared" si="9"/>
        <v>1.0405912754783084</v>
      </c>
      <c r="J102" s="25">
        <f t="shared" si="5"/>
        <v>0.40200483106564855</v>
      </c>
      <c r="K102" s="21" t="b">
        <f t="array" ref="K102">J102&gt;=($O$1+2*$O$2)</f>
        <v>1</v>
      </c>
      <c r="L102" s="22" t="b">
        <f t="shared" si="6"/>
        <v>0</v>
      </c>
    </row>
    <row r="103" spans="1:12" ht="16.5" thickBot="1" x14ac:dyDescent="0.5">
      <c r="A103" s="4">
        <v>40506</v>
      </c>
      <c r="B103" s="10">
        <v>42.052795000000003</v>
      </c>
      <c r="C103" s="24">
        <v>132.004167</v>
      </c>
      <c r="D103" s="12">
        <v>13.541460000000001</v>
      </c>
      <c r="F103" s="16">
        <f t="shared" si="7"/>
        <v>1.9661179775049317E-2</v>
      </c>
      <c r="G103" s="11">
        <f t="shared" si="8"/>
        <v>1.4709592479375038</v>
      </c>
      <c r="H103" s="11">
        <f t="array" ref="H103">(D103-D102)/D102</f>
        <v>1.1421255153472296E-2</v>
      </c>
      <c r="I103" s="12">
        <f t="shared" si="9"/>
        <v>1.0524761339460234</v>
      </c>
      <c r="J103" s="25">
        <f t="shared" si="5"/>
        <v>0.41848311399148042</v>
      </c>
      <c r="K103" s="21" t="b">
        <f t="array" ref="K103">J103&gt;=($O$1+2*$O$2)</f>
        <v>1</v>
      </c>
      <c r="L103" s="22" t="b">
        <f t="shared" si="6"/>
        <v>0</v>
      </c>
    </row>
    <row r="104" spans="1:12" ht="16.5" thickBot="1" x14ac:dyDescent="0.5">
      <c r="A104" s="4">
        <v>40508</v>
      </c>
      <c r="B104" s="10">
        <v>42.079509000000002</v>
      </c>
      <c r="C104" s="24">
        <v>130.27500900000001</v>
      </c>
      <c r="D104" s="12">
        <v>13.422527000000001</v>
      </c>
      <c r="F104" s="16">
        <f t="shared" si="7"/>
        <v>6.3524909580916914E-4</v>
      </c>
      <c r="G104" s="11">
        <f t="shared" si="8"/>
        <v>1.4718936734697283</v>
      </c>
      <c r="H104" s="11">
        <f t="array" ref="H104">(D104-D103)/D103</f>
        <v>-8.7828786556250343E-3</v>
      </c>
      <c r="I104" s="12">
        <f t="shared" si="9"/>
        <v>1.043232363773634</v>
      </c>
      <c r="J104" s="25">
        <f t="shared" si="5"/>
        <v>0.42866130969609428</v>
      </c>
      <c r="K104" s="21" t="b">
        <f t="array" ref="K104">J104&gt;=($O$1+2*$O$2)</f>
        <v>1</v>
      </c>
      <c r="L104" s="22" t="b">
        <f t="shared" si="6"/>
        <v>0</v>
      </c>
    </row>
    <row r="105" spans="1:12" ht="16.5" thickBot="1" x14ac:dyDescent="0.5">
      <c r="A105" s="4">
        <v>40511</v>
      </c>
      <c r="B105" s="10">
        <v>42.329310999999997</v>
      </c>
      <c r="C105" s="24">
        <v>129.36064500000001</v>
      </c>
      <c r="D105" s="12">
        <v>13.566946</v>
      </c>
      <c r="F105" s="16">
        <f t="shared" si="7"/>
        <v>5.9364285833277053E-3</v>
      </c>
      <c r="G105" s="11">
        <f t="shared" si="8"/>
        <v>1.4806314651445331</v>
      </c>
      <c r="H105" s="11">
        <f t="array" ref="H105">(D105-D104)/D104</f>
        <v>1.0759449394290597E-2</v>
      </c>
      <c r="I105" s="12">
        <f t="shared" si="9"/>
        <v>1.0544569695981427</v>
      </c>
      <c r="J105" s="25">
        <f t="shared" si="5"/>
        <v>0.42617449554639042</v>
      </c>
      <c r="K105" s="21" t="b">
        <f t="array" ref="K105">J105&gt;=($O$1+2*$O$2)</f>
        <v>1</v>
      </c>
      <c r="L105" s="22" t="b">
        <f t="shared" si="6"/>
        <v>0</v>
      </c>
    </row>
    <row r="106" spans="1:12" ht="16.5" thickBot="1" x14ac:dyDescent="0.5">
      <c r="A106" s="4">
        <v>40512</v>
      </c>
      <c r="B106" s="10">
        <v>41.565204999999999</v>
      </c>
      <c r="C106" s="24">
        <v>128.06604899999999</v>
      </c>
      <c r="D106" s="12">
        <v>13.448012</v>
      </c>
      <c r="F106" s="16">
        <f t="shared" si="7"/>
        <v>-1.8051463204775485E-2</v>
      </c>
      <c r="G106" s="11">
        <f t="shared" si="8"/>
        <v>1.4539039007316439</v>
      </c>
      <c r="H106" s="11">
        <f t="array" ref="H106">(D106-D105)/D105</f>
        <v>-8.7664534081582871E-3</v>
      </c>
      <c r="I106" s="12">
        <f t="shared" si="9"/>
        <v>1.0452131217032528</v>
      </c>
      <c r="J106" s="25">
        <f t="shared" si="5"/>
        <v>0.40869077902839113</v>
      </c>
      <c r="K106" s="21" t="b">
        <f t="array" ref="K106">J106&gt;=($O$1+2*$O$2)</f>
        <v>1</v>
      </c>
      <c r="L106" s="22" t="b">
        <f t="shared" si="6"/>
        <v>0</v>
      </c>
    </row>
    <row r="107" spans="1:12" ht="16.5" thickBot="1" x14ac:dyDescent="0.5">
      <c r="A107" s="4">
        <v>40513</v>
      </c>
      <c r="B107" s="10">
        <v>42.266530000000003</v>
      </c>
      <c r="C107" s="24">
        <v>130.736729</v>
      </c>
      <c r="D107" s="12">
        <v>13.847289</v>
      </c>
      <c r="F107" s="16">
        <f t="shared" si="7"/>
        <v>1.6872886829260296E-2</v>
      </c>
      <c r="G107" s="11">
        <f t="shared" si="8"/>
        <v>1.478435456709309</v>
      </c>
      <c r="H107" s="11">
        <f t="array" ref="H107">(D107-D106)/D106</f>
        <v>2.9690410746212873E-2</v>
      </c>
      <c r="I107" s="12">
        <f t="shared" si="9"/>
        <v>1.0762459286039536</v>
      </c>
      <c r="J107" s="25">
        <f t="shared" si="5"/>
        <v>0.40218952810535535</v>
      </c>
      <c r="K107" s="21" t="b">
        <f t="array" ref="K107">J107&gt;=($O$1+2*$O$2)</f>
        <v>1</v>
      </c>
      <c r="L107" s="22" t="b">
        <f t="shared" si="6"/>
        <v>0</v>
      </c>
    </row>
    <row r="108" spans="1:12" ht="16.5" thickBot="1" x14ac:dyDescent="0.5">
      <c r="A108" s="4">
        <v>40514</v>
      </c>
      <c r="B108" s="10">
        <v>42.500304999999997</v>
      </c>
      <c r="C108" s="24">
        <v>131.43381299999999</v>
      </c>
      <c r="D108" s="12">
        <v>14.170111</v>
      </c>
      <c r="F108" s="16">
        <f t="shared" si="7"/>
        <v>5.5309721427331338E-3</v>
      </c>
      <c r="G108" s="11">
        <f t="shared" si="8"/>
        <v>1.4866126420351973</v>
      </c>
      <c r="H108" s="11">
        <f t="array" ref="H108">(D108-D107)/D107</f>
        <v>2.3313010943875036E-2</v>
      </c>
      <c r="I108" s="12">
        <f t="shared" si="9"/>
        <v>1.1013364617157986</v>
      </c>
      <c r="J108" s="25">
        <f t="shared" si="5"/>
        <v>0.3852761803193987</v>
      </c>
      <c r="K108" s="21" t="b">
        <f t="array" ref="K108">J108&gt;=($O$1+2*$O$2)</f>
        <v>1</v>
      </c>
      <c r="L108" s="22" t="b">
        <f t="shared" si="6"/>
        <v>0</v>
      </c>
    </row>
    <row r="109" spans="1:12" ht="16.5" thickBot="1" x14ac:dyDescent="0.5">
      <c r="A109" s="4">
        <v>40515</v>
      </c>
      <c r="B109" s="10">
        <v>42.405458000000003</v>
      </c>
      <c r="C109" s="24">
        <v>131.61488700000001</v>
      </c>
      <c r="D109" s="12">
        <v>14.255064000000001</v>
      </c>
      <c r="F109" s="16">
        <f t="shared" si="7"/>
        <v>-2.2316781020746642E-3</v>
      </c>
      <c r="G109" s="11">
        <f t="shared" si="8"/>
        <v>1.4832950011557</v>
      </c>
      <c r="H109" s="11">
        <f t="array" ref="H109">(D109-D108)/D108</f>
        <v>5.9952247374773912E-3</v>
      </c>
      <c r="I109" s="12">
        <f t="shared" si="9"/>
        <v>1.1079392213153632</v>
      </c>
      <c r="J109" s="25">
        <f t="shared" si="5"/>
        <v>0.37535577984033686</v>
      </c>
      <c r="K109" s="21" t="b">
        <f t="array" ref="K109">J109&gt;=($O$1+2*$O$2)</f>
        <v>1</v>
      </c>
      <c r="L109" s="22" t="b">
        <f t="shared" si="6"/>
        <v>0</v>
      </c>
    </row>
    <row r="110" spans="1:12" ht="16.5" thickBot="1" x14ac:dyDescent="0.5">
      <c r="A110" s="4">
        <v>40518</v>
      </c>
      <c r="B110" s="10">
        <v>42.767471999999998</v>
      </c>
      <c r="C110" s="24">
        <v>131.26181399999999</v>
      </c>
      <c r="D110" s="12">
        <v>14.187101999999999</v>
      </c>
      <c r="F110" s="16">
        <f t="shared" si="7"/>
        <v>8.5369671045645804E-3</v>
      </c>
      <c r="G110" s="11">
        <f t="shared" si="8"/>
        <v>1.4959578417869313</v>
      </c>
      <c r="H110" s="11">
        <f t="array" ref="H110">(D110-D109)/D109</f>
        <v>-4.7675689144574453E-3</v>
      </c>
      <c r="I110" s="12">
        <f t="shared" si="9"/>
        <v>1.1026570447247119</v>
      </c>
      <c r="J110" s="25">
        <f t="shared" si="5"/>
        <v>0.39330079706221932</v>
      </c>
      <c r="K110" s="21" t="b">
        <f t="array" ref="K110">J110&gt;=($O$1+2*$O$2)</f>
        <v>1</v>
      </c>
      <c r="L110" s="22" t="b">
        <f t="shared" si="6"/>
        <v>0</v>
      </c>
    </row>
    <row r="111" spans="1:12" ht="16.5" thickBot="1" x14ac:dyDescent="0.5">
      <c r="A111" s="4">
        <v>40519</v>
      </c>
      <c r="B111" s="10">
        <v>42.508316000000001</v>
      </c>
      <c r="C111" s="24">
        <v>130.383656</v>
      </c>
      <c r="D111" s="12">
        <v>14.467445</v>
      </c>
      <c r="F111" s="16">
        <f t="shared" si="7"/>
        <v>-6.0596520645409503E-3</v>
      </c>
      <c r="G111" s="11">
        <f t="shared" si="8"/>
        <v>1.4868928577624809</v>
      </c>
      <c r="H111" s="11">
        <f t="array" ref="H111">(D111-D110)/D110</f>
        <v>1.9760413367014649E-2</v>
      </c>
      <c r="I111" s="12">
        <f t="shared" si="9"/>
        <v>1.1244460037305231</v>
      </c>
      <c r="J111" s="25">
        <f t="shared" si="5"/>
        <v>0.36244685403195787</v>
      </c>
      <c r="K111" s="21" t="b">
        <f t="array" ref="K111">J111&gt;=($O$1+2*$O$2)</f>
        <v>1</v>
      </c>
      <c r="L111" s="22" t="b">
        <f t="shared" si="6"/>
        <v>0</v>
      </c>
    </row>
    <row r="112" spans="1:12" ht="16.5" thickBot="1" x14ac:dyDescent="0.5">
      <c r="A112" s="4">
        <v>40520</v>
      </c>
      <c r="B112" s="10">
        <v>42.882358000000004</v>
      </c>
      <c r="C112" s="24">
        <v>131.25275199999999</v>
      </c>
      <c r="D112" s="12">
        <v>14.475941000000001</v>
      </c>
      <c r="F112" s="16">
        <f t="shared" si="7"/>
        <v>8.7992664776464641E-3</v>
      </c>
      <c r="G112" s="11">
        <f t="shared" si="8"/>
        <v>1.4999764242416422</v>
      </c>
      <c r="H112" s="11">
        <f t="array" ref="H112">(D112-D111)/D111</f>
        <v>5.8724951088467568E-4</v>
      </c>
      <c r="I112" s="12">
        <f t="shared" si="9"/>
        <v>1.1251063340962302</v>
      </c>
      <c r="J112" s="25">
        <f t="shared" si="5"/>
        <v>0.37487009014541206</v>
      </c>
      <c r="K112" s="21" t="b">
        <f t="array" ref="K112">J112&gt;=($O$1+2*$O$2)</f>
        <v>1</v>
      </c>
      <c r="L112" s="22" t="b">
        <f t="shared" si="6"/>
        <v>0</v>
      </c>
    </row>
    <row r="113" spans="1:12" ht="16.5" thickBot="1" x14ac:dyDescent="0.5">
      <c r="A113" s="4">
        <v>40521</v>
      </c>
      <c r="B113" s="10">
        <v>42.715376999999997</v>
      </c>
      <c r="C113" s="24">
        <v>130.63714400000001</v>
      </c>
      <c r="D113" s="12">
        <v>14.552396999999999</v>
      </c>
      <c r="F113" s="16">
        <f t="shared" si="7"/>
        <v>-3.8939323252701477E-3</v>
      </c>
      <c r="G113" s="11">
        <f t="shared" si="8"/>
        <v>1.4941356175561447</v>
      </c>
      <c r="H113" s="11">
        <f t="array" ref="H113">(D113-D112)/D112</f>
        <v>5.2815910205767291E-3</v>
      </c>
      <c r="I113" s="12">
        <f t="shared" si="9"/>
        <v>1.131048685607587</v>
      </c>
      <c r="J113" s="25">
        <f t="shared" si="5"/>
        <v>0.36308693194855768</v>
      </c>
      <c r="K113" s="21" t="b">
        <f t="array" ref="K113">J113&gt;=($O$1+2*$O$2)</f>
        <v>1</v>
      </c>
      <c r="L113" s="22" t="b">
        <f t="shared" si="6"/>
        <v>0</v>
      </c>
    </row>
    <row r="114" spans="1:12" ht="16.5" thickBot="1" x14ac:dyDescent="0.5">
      <c r="A114" s="4">
        <v>40522</v>
      </c>
      <c r="B114" s="10">
        <v>42.822248000000002</v>
      </c>
      <c r="C114" s="24">
        <v>131.107912</v>
      </c>
      <c r="D114" s="12">
        <v>15.053618</v>
      </c>
      <c r="F114" s="16">
        <f t="shared" si="7"/>
        <v>2.501932734902592E-3</v>
      </c>
      <c r="G114" s="11">
        <f t="shared" si="8"/>
        <v>1.4978738443680921</v>
      </c>
      <c r="H114" s="11">
        <f t="array" ref="H114">(D114-D113)/D113</f>
        <v>3.4442504557840266E-2</v>
      </c>
      <c r="I114" s="12">
        <f t="shared" si="9"/>
        <v>1.1700048351167656</v>
      </c>
      <c r="J114" s="25">
        <f t="shared" si="5"/>
        <v>0.32786900925132656</v>
      </c>
      <c r="K114" s="21" t="b">
        <f t="array" ref="K114">J114&gt;=($O$1+2*$O$2)</f>
        <v>1</v>
      </c>
      <c r="L114" s="22" t="b">
        <f t="shared" si="6"/>
        <v>0</v>
      </c>
    </row>
    <row r="115" spans="1:12" ht="16.5" thickBot="1" x14ac:dyDescent="0.5">
      <c r="A115" s="4">
        <v>40525</v>
      </c>
      <c r="B115" s="10">
        <v>42.970529999999997</v>
      </c>
      <c r="C115" s="24">
        <v>130.619034</v>
      </c>
      <c r="D115" s="12">
        <v>14.968666000000001</v>
      </c>
      <c r="F115" s="16">
        <f t="shared" si="7"/>
        <v>3.4627327364970353E-3</v>
      </c>
      <c r="G115" s="11">
        <f t="shared" si="8"/>
        <v>1.5030605811641282</v>
      </c>
      <c r="H115" s="11">
        <f t="array" ref="H115">(D115-D114)/D114</f>
        <v>-5.6432945222868996E-3</v>
      </c>
      <c r="I115" s="12">
        <f t="shared" si="9"/>
        <v>1.1634021532397021</v>
      </c>
      <c r="J115" s="25">
        <f t="shared" si="5"/>
        <v>0.33965842792442613</v>
      </c>
      <c r="K115" s="21" t="b">
        <f t="array" ref="K115">J115&gt;=($O$1+2*$O$2)</f>
        <v>1</v>
      </c>
      <c r="L115" s="22" t="b">
        <f t="shared" si="6"/>
        <v>0</v>
      </c>
    </row>
    <row r="116" spans="1:12" ht="16.5" thickBot="1" x14ac:dyDescent="0.5">
      <c r="A116" s="4">
        <v>40526</v>
      </c>
      <c r="B116" s="10">
        <v>42.786174000000003</v>
      </c>
      <c r="C116" s="24">
        <v>132.013229</v>
      </c>
      <c r="D116" s="12">
        <v>15.028133</v>
      </c>
      <c r="F116" s="16">
        <f t="shared" si="7"/>
        <v>-4.2902891819112769E-3</v>
      </c>
      <c r="G116" s="11">
        <f t="shared" si="8"/>
        <v>1.4966120166130024</v>
      </c>
      <c r="H116" s="11">
        <f t="array" ref="H116">(D116-D115)/D115</f>
        <v>3.9727655089638386E-3</v>
      </c>
      <c r="I116" s="12">
        <f t="shared" si="9"/>
        <v>1.1680240771871471</v>
      </c>
      <c r="J116" s="25">
        <f t="shared" si="5"/>
        <v>0.32858793942585529</v>
      </c>
      <c r="K116" s="21" t="b">
        <f t="array" ref="K116">J116&gt;=($O$1+2*$O$2)</f>
        <v>1</v>
      </c>
      <c r="L116" s="22" t="b">
        <f t="shared" si="6"/>
        <v>0</v>
      </c>
    </row>
    <row r="117" spans="1:12" ht="16.5" thickBot="1" x14ac:dyDescent="0.5">
      <c r="A117" s="4">
        <v>40527</v>
      </c>
      <c r="B117" s="10">
        <v>42.795523000000003</v>
      </c>
      <c r="C117" s="24">
        <v>131.01737499999999</v>
      </c>
      <c r="D117" s="12">
        <v>14.858226999999999</v>
      </c>
      <c r="F117" s="16">
        <f t="shared" si="7"/>
        <v>2.185051647758987E-4</v>
      </c>
      <c r="G117" s="11">
        <f t="shared" si="8"/>
        <v>1.496939034068298</v>
      </c>
      <c r="H117" s="11">
        <f t="array" ref="H117">(D117-D116)/D116</f>
        <v>-1.1305862145351056E-2</v>
      </c>
      <c r="I117" s="12">
        <f t="shared" si="9"/>
        <v>1.1548185579880184</v>
      </c>
      <c r="J117" s="25">
        <f t="shared" si="5"/>
        <v>0.34212047608027962</v>
      </c>
      <c r="K117" s="21" t="b">
        <f t="array" ref="K117">J117&gt;=($O$1+2*$O$2)</f>
        <v>1</v>
      </c>
      <c r="L117" s="22" t="b">
        <f t="shared" si="6"/>
        <v>0</v>
      </c>
    </row>
    <row r="118" spans="1:12" ht="16.5" thickBot="1" x14ac:dyDescent="0.5">
      <c r="A118" s="4">
        <v>40528</v>
      </c>
      <c r="B118" s="10">
        <v>42.914422999999999</v>
      </c>
      <c r="C118" s="24">
        <v>130.863473</v>
      </c>
      <c r="D118" s="12">
        <v>15.096095</v>
      </c>
      <c r="F118" s="16">
        <f t="shared" si="7"/>
        <v>2.7783280040764181E-3</v>
      </c>
      <c r="G118" s="11">
        <f t="shared" si="8"/>
        <v>1.5010980217070451</v>
      </c>
      <c r="H118" s="11">
        <f t="array" ref="H118">(D118-D117)/D117</f>
        <v>1.6009177945659373E-2</v>
      </c>
      <c r="I118" s="12">
        <f t="shared" si="9"/>
        <v>1.1733062537777985</v>
      </c>
      <c r="J118" s="25">
        <f t="shared" si="5"/>
        <v>0.32779176792924658</v>
      </c>
      <c r="K118" s="21" t="b">
        <f t="array" ref="K118">J118&gt;=($O$1+2*$O$2)</f>
        <v>1</v>
      </c>
      <c r="L118" s="22" t="b">
        <f t="shared" si="6"/>
        <v>0</v>
      </c>
    </row>
    <row r="119" spans="1:12" ht="16.5" thickBot="1" x14ac:dyDescent="0.5">
      <c r="A119" s="4">
        <v>40529</v>
      </c>
      <c r="B119" s="10">
        <v>42.828926000000003</v>
      </c>
      <c r="C119" s="24">
        <v>131.27086299999999</v>
      </c>
      <c r="D119" s="12">
        <v>15.036629</v>
      </c>
      <c r="F119" s="16">
        <f t="shared" si="7"/>
        <v>-1.9922672617547861E-3</v>
      </c>
      <c r="G119" s="11">
        <f t="shared" si="8"/>
        <v>1.4981074332617133</v>
      </c>
      <c r="H119" s="11">
        <f t="array" ref="H119">(D119-D118)/D118</f>
        <v>-3.9391643998001116E-3</v>
      </c>
      <c r="I119" s="12">
        <f t="shared" si="9"/>
        <v>1.1686844075528542</v>
      </c>
      <c r="J119" s="25">
        <f t="shared" si="5"/>
        <v>0.32942302570885906</v>
      </c>
      <c r="K119" s="21" t="b">
        <f t="array" ref="K119">J119&gt;=($O$1+2*$O$2)</f>
        <v>1</v>
      </c>
      <c r="L119" s="22" t="b">
        <f t="shared" si="6"/>
        <v>0</v>
      </c>
    </row>
    <row r="120" spans="1:12" ht="16.5" thickBot="1" x14ac:dyDescent="0.5">
      <c r="A120" s="4">
        <v>40532</v>
      </c>
      <c r="B120" s="10">
        <v>43.042661000000003</v>
      </c>
      <c r="C120" s="24">
        <v>130.82725300000001</v>
      </c>
      <c r="D120" s="12">
        <v>15.036629</v>
      </c>
      <c r="F120" s="16">
        <f t="shared" si="7"/>
        <v>4.9904356695752716E-3</v>
      </c>
      <c r="G120" s="11">
        <f t="shared" si="8"/>
        <v>1.5055836420335185</v>
      </c>
      <c r="H120" s="11">
        <f t="array" ref="H120">(D120-D119)/D119</f>
        <v>0</v>
      </c>
      <c r="I120" s="12">
        <f t="shared" si="9"/>
        <v>1.1686844075528542</v>
      </c>
      <c r="J120" s="25">
        <f t="shared" si="5"/>
        <v>0.33689923448066428</v>
      </c>
      <c r="K120" s="21" t="b">
        <f t="array" ref="K120">J120&gt;=($O$1+2*$O$2)</f>
        <v>1</v>
      </c>
      <c r="L120" s="22" t="b">
        <f t="shared" si="6"/>
        <v>0</v>
      </c>
    </row>
    <row r="121" spans="1:12" ht="16.5" thickBot="1" x14ac:dyDescent="0.5">
      <c r="A121" s="4">
        <v>40533</v>
      </c>
      <c r="B121" s="10">
        <v>43.308501</v>
      </c>
      <c r="C121" s="24">
        <v>131.94080199999999</v>
      </c>
      <c r="D121" s="12">
        <v>15.206533</v>
      </c>
      <c r="F121" s="16">
        <f t="shared" si="7"/>
        <v>6.1761980747425714E-3</v>
      </c>
      <c r="G121" s="11">
        <f t="shared" si="8"/>
        <v>1.5148824248248098</v>
      </c>
      <c r="H121" s="11">
        <f t="array" ref="H121">(D121-D120)/D120</f>
        <v>1.129934109566717E-2</v>
      </c>
      <c r="I121" s="12">
        <f t="shared" si="9"/>
        <v>1.1818897713069816</v>
      </c>
      <c r="J121" s="25">
        <f t="shared" si="5"/>
        <v>0.33299265351782825</v>
      </c>
      <c r="K121" s="21" t="b">
        <f t="array" ref="K121">J121&gt;=($O$1+2*$O$2)</f>
        <v>1</v>
      </c>
      <c r="L121" s="22" t="b">
        <f t="shared" si="6"/>
        <v>0</v>
      </c>
    </row>
    <row r="122" spans="1:12" ht="16.5" thickBot="1" x14ac:dyDescent="0.5">
      <c r="A122" s="4">
        <v>40534</v>
      </c>
      <c r="B122" s="10">
        <v>43.436743</v>
      </c>
      <c r="C122" s="24">
        <v>132.13091</v>
      </c>
      <c r="D122" s="12">
        <v>15.463400999999999</v>
      </c>
      <c r="F122" s="16">
        <f t="shared" si="7"/>
        <v>2.9611276548223223E-3</v>
      </c>
      <c r="G122" s="11">
        <f t="shared" si="8"/>
        <v>1.5193681850667629</v>
      </c>
      <c r="H122" s="11">
        <f t="array" ref="H122">(D122-D121)/D121</f>
        <v>1.6891950321614991E-2</v>
      </c>
      <c r="I122" s="12">
        <f t="shared" si="9"/>
        <v>1.201854194609524</v>
      </c>
      <c r="J122" s="25">
        <f t="shared" si="5"/>
        <v>0.31751399045723883</v>
      </c>
      <c r="K122" s="21" t="b">
        <f t="array" ref="K122">J122&gt;=($O$1+2*$O$2)</f>
        <v>1</v>
      </c>
      <c r="L122" s="22" t="b">
        <f t="shared" si="6"/>
        <v>0</v>
      </c>
    </row>
    <row r="123" spans="1:12" ht="16.5" thickBot="1" x14ac:dyDescent="0.5">
      <c r="A123" s="4">
        <v>40535</v>
      </c>
      <c r="B123" s="10">
        <v>43.228344</v>
      </c>
      <c r="C123" s="24">
        <v>132.076593</v>
      </c>
      <c r="D123" s="12">
        <v>15.446277</v>
      </c>
      <c r="F123" s="16">
        <f t="shared" si="7"/>
        <v>-4.7977584323023485E-3</v>
      </c>
      <c r="G123" s="11">
        <f t="shared" si="8"/>
        <v>1.5120786235450869</v>
      </c>
      <c r="H123" s="11">
        <f t="array" ref="H123">(D123-D122)/D122</f>
        <v>-1.1073889890069481E-3</v>
      </c>
      <c r="I123" s="12">
        <f t="shared" si="9"/>
        <v>1.2005232745080217</v>
      </c>
      <c r="J123" s="25">
        <f t="shared" si="5"/>
        <v>0.31155534903706528</v>
      </c>
      <c r="K123" s="21" t="b">
        <f t="array" ref="K123">J123&gt;=($O$1+2*$O$2)</f>
        <v>1</v>
      </c>
      <c r="L123" s="22" t="b">
        <f t="shared" si="6"/>
        <v>0</v>
      </c>
    </row>
    <row r="124" spans="1:12" ht="16.5" thickBot="1" x14ac:dyDescent="0.5">
      <c r="A124" s="4">
        <v>40539</v>
      </c>
      <c r="B124" s="10">
        <v>43.372619999999998</v>
      </c>
      <c r="C124" s="24">
        <v>131.578667</v>
      </c>
      <c r="D124" s="12">
        <v>15.574711000000001</v>
      </c>
      <c r="F124" s="16">
        <f t="shared" si="7"/>
        <v>3.3375324301110829E-3</v>
      </c>
      <c r="G124" s="11">
        <f t="shared" si="8"/>
        <v>1.5171252349880464</v>
      </c>
      <c r="H124" s="11">
        <f t="array" ref="H124">(D124-D123)/D123</f>
        <v>8.314883903739417E-3</v>
      </c>
      <c r="I124" s="12">
        <f t="shared" si="9"/>
        <v>1.210505486159293</v>
      </c>
      <c r="J124" s="25">
        <f t="shared" si="5"/>
        <v>0.30661974882875342</v>
      </c>
      <c r="K124" s="21" t="b">
        <f t="array" ref="K124">J124&gt;=($O$1+2*$O$2)</f>
        <v>1</v>
      </c>
      <c r="L124" s="22" t="b">
        <f t="shared" si="6"/>
        <v>0</v>
      </c>
    </row>
    <row r="125" spans="1:12" ht="16.5" thickBot="1" x14ac:dyDescent="0.5">
      <c r="A125" s="4">
        <v>40540</v>
      </c>
      <c r="B125" s="10">
        <v>43.478146000000002</v>
      </c>
      <c r="C125" s="24">
        <v>131.91364300000001</v>
      </c>
      <c r="D125" s="12">
        <v>15.686019</v>
      </c>
      <c r="F125" s="16">
        <f t="shared" si="7"/>
        <v>2.4330095806987147E-3</v>
      </c>
      <c r="G125" s="11">
        <f t="shared" si="8"/>
        <v>1.5208164152198922</v>
      </c>
      <c r="H125" s="11">
        <f t="array" ref="H125">(D125-D124)/D124</f>
        <v>7.1467136693579283E-3</v>
      </c>
      <c r="I125" s="12">
        <f t="shared" si="9"/>
        <v>1.2191566222640604</v>
      </c>
      <c r="J125" s="25">
        <f t="shared" si="5"/>
        <v>0.30165979295583178</v>
      </c>
      <c r="K125" s="21" t="b">
        <f t="array" ref="K125">J125&gt;=($O$1+2*$O$2)</f>
        <v>1</v>
      </c>
      <c r="L125" s="22" t="b">
        <f t="shared" si="6"/>
        <v>0</v>
      </c>
    </row>
    <row r="126" spans="1:12" ht="16.5" thickBot="1" x14ac:dyDescent="0.5">
      <c r="A126" s="4">
        <v>40541</v>
      </c>
      <c r="B126" s="10">
        <v>43.454107</v>
      </c>
      <c r="C126" s="24">
        <v>132.64694700000001</v>
      </c>
      <c r="D126" s="12">
        <v>15.643209000000001</v>
      </c>
      <c r="F126" s="16">
        <f t="shared" si="7"/>
        <v>-5.5289846075777744E-4</v>
      </c>
      <c r="G126" s="11">
        <f t="shared" si="8"/>
        <v>1.519975558164822</v>
      </c>
      <c r="H126" s="11">
        <f t="array" ref="H126">(D126-D125)/D125</f>
        <v>-2.7291819549625273E-3</v>
      </c>
      <c r="I126" s="12">
        <f t="shared" si="9"/>
        <v>1.2158293220103042</v>
      </c>
      <c r="J126" s="25">
        <f t="shared" si="5"/>
        <v>0.30414623615451775</v>
      </c>
      <c r="K126" s="21" t="b">
        <f t="array" ref="K126">J126&gt;=($O$1+2*$O$2)</f>
        <v>1</v>
      </c>
      <c r="L126" s="22" t="b">
        <f t="shared" si="6"/>
        <v>0</v>
      </c>
    </row>
    <row r="127" spans="1:12" ht="16.5" thickBot="1" x14ac:dyDescent="0.5">
      <c r="A127" s="4">
        <v>40542</v>
      </c>
      <c r="B127" s="10">
        <v>43.236359</v>
      </c>
      <c r="C127" s="24">
        <v>132.78273899999999</v>
      </c>
      <c r="D127" s="12">
        <v>15.574711000000001</v>
      </c>
      <c r="F127" s="16">
        <f t="shared" si="7"/>
        <v>-5.0109877991509587E-3</v>
      </c>
      <c r="G127" s="11">
        <f t="shared" si="8"/>
        <v>1.5123589791878504</v>
      </c>
      <c r="H127" s="11">
        <f t="array" ref="H127">(D127-D126)/D126</f>
        <v>-4.3787690875957703E-3</v>
      </c>
      <c r="I127" s="12">
        <f t="shared" si="9"/>
        <v>1.210505486159293</v>
      </c>
      <c r="J127" s="25">
        <f t="shared" si="5"/>
        <v>0.30185349302855746</v>
      </c>
      <c r="K127" s="21" t="b">
        <f t="array" ref="K127">J127&gt;=($O$1+2*$O$2)</f>
        <v>1</v>
      </c>
      <c r="L127" s="22" t="b">
        <f t="shared" si="6"/>
        <v>0</v>
      </c>
    </row>
    <row r="128" spans="1:12" ht="16.5" thickBot="1" x14ac:dyDescent="0.5">
      <c r="A128" s="4">
        <v>40543</v>
      </c>
      <c r="B128" s="10">
        <v>43.089418999999999</v>
      </c>
      <c r="C128" s="24">
        <v>132.864214</v>
      </c>
      <c r="D128" s="12">
        <v>15.660333</v>
      </c>
      <c r="F128" s="16">
        <f t="shared" si="7"/>
        <v>-3.3985285393712439E-3</v>
      </c>
      <c r="G128" s="11">
        <f t="shared" si="8"/>
        <v>1.5072191840353062</v>
      </c>
      <c r="H128" s="11">
        <f t="array" ref="H128">(D128-D127)/D127</f>
        <v>5.4975016871901487E-3</v>
      </c>
      <c r="I128" s="12">
        <f t="shared" si="9"/>
        <v>1.2171602421118066</v>
      </c>
      <c r="J128" s="25">
        <f t="shared" si="5"/>
        <v>0.29005894192349957</v>
      </c>
      <c r="K128" s="21" t="b">
        <f t="array" ref="K128">J128&gt;=($O$1+2*$O$2)</f>
        <v>1</v>
      </c>
      <c r="L128" s="22" t="b">
        <f t="shared" si="6"/>
        <v>0</v>
      </c>
    </row>
    <row r="129" spans="1:12" ht="16.5" thickBot="1" x14ac:dyDescent="0.5">
      <c r="A129" s="4">
        <v>40546</v>
      </c>
      <c r="B129" s="10">
        <v>44.025852999999998</v>
      </c>
      <c r="C129" s="24">
        <v>133.516043</v>
      </c>
      <c r="D129" s="12">
        <v>15.651771</v>
      </c>
      <c r="F129" s="16">
        <f t="shared" si="7"/>
        <v>2.1732342225361599E-2</v>
      </c>
      <c r="G129" s="11">
        <f t="shared" si="8"/>
        <v>1.5399745871513919</v>
      </c>
      <c r="H129" s="11">
        <f t="array" ref="H129">(D129-D128)/D128</f>
        <v>-5.4673166911581729E-4</v>
      </c>
      <c r="I129" s="12">
        <f t="shared" si="9"/>
        <v>1.2164947820610554</v>
      </c>
      <c r="J129" s="25">
        <f t="shared" si="5"/>
        <v>0.32347980509033647</v>
      </c>
      <c r="K129" s="21" t="b">
        <f t="array" ref="K129">J129&gt;=($O$1+2*$O$2)</f>
        <v>1</v>
      </c>
      <c r="L129" s="22" t="b">
        <f t="shared" si="6"/>
        <v>0</v>
      </c>
    </row>
    <row r="130" spans="1:12" ht="16.5" thickBot="1" x14ac:dyDescent="0.5">
      <c r="A130" s="4">
        <v>40547</v>
      </c>
      <c r="B130" s="10">
        <v>44.255619000000003</v>
      </c>
      <c r="C130" s="24">
        <v>133.66089700000001</v>
      </c>
      <c r="D130" s="12">
        <v>15.934324999999999</v>
      </c>
      <c r="F130" s="16">
        <f t="shared" si="7"/>
        <v>5.2188880928668215E-3</v>
      </c>
      <c r="G130" s="11">
        <f t="shared" si="8"/>
        <v>1.5480115421875937</v>
      </c>
      <c r="H130" s="11">
        <f t="array" ref="H130">(D130-D129)/D129</f>
        <v>1.8052525813213042E-2</v>
      </c>
      <c r="I130" s="12">
        <f t="shared" si="9"/>
        <v>1.2384555855158517</v>
      </c>
      <c r="J130" s="25">
        <f t="shared" si="5"/>
        <v>0.30955595667174207</v>
      </c>
      <c r="K130" s="21" t="b">
        <f t="array" ref="K130">J130&gt;=($O$1+2*$O$2)</f>
        <v>1</v>
      </c>
      <c r="L130" s="22" t="b">
        <f t="shared" si="6"/>
        <v>0</v>
      </c>
    </row>
    <row r="131" spans="1:12" ht="16.5" thickBot="1" x14ac:dyDescent="0.5">
      <c r="A131" s="4">
        <v>40548</v>
      </c>
      <c r="B131" s="10">
        <v>44.617643000000001</v>
      </c>
      <c r="C131" s="24">
        <v>133.12676400000001</v>
      </c>
      <c r="D131" s="12">
        <v>15.96001</v>
      </c>
      <c r="F131" s="16">
        <f t="shared" si="7"/>
        <v>8.1802945745713812E-3</v>
      </c>
      <c r="G131" s="11">
        <f t="shared" si="8"/>
        <v>1.560674732607525</v>
      </c>
      <c r="H131" s="11">
        <f t="array" ref="H131">(D131-D130)/D130</f>
        <v>1.611928964672245E-3</v>
      </c>
      <c r="I131" s="12">
        <f t="shared" si="9"/>
        <v>1.2404518879456048</v>
      </c>
      <c r="J131" s="25">
        <f t="shared" ref="J131:J194" si="10">(G131-I131)</f>
        <v>0.32022284466192019</v>
      </c>
      <c r="K131" s="21" t="b">
        <f t="array" ref="K131">J131&gt;=($O$1+2*$O$2)</f>
        <v>1</v>
      </c>
      <c r="L131" s="22" t="b">
        <f t="shared" ref="L131:L194" si="11">J131&lt;=(O130-2*O131)</f>
        <v>0</v>
      </c>
    </row>
    <row r="132" spans="1:12" ht="16.5" thickBot="1" x14ac:dyDescent="0.5">
      <c r="A132" s="4">
        <v>40549</v>
      </c>
      <c r="B132" s="10">
        <v>44.581564999999998</v>
      </c>
      <c r="C132" s="24">
        <v>134.58432300000001</v>
      </c>
      <c r="D132" s="12">
        <v>15.891513</v>
      </c>
      <c r="F132" s="16">
        <f t="shared" ref="F132:F195" si="12">(B132-B131)/B131</f>
        <v>-8.0860389689350876E-4</v>
      </c>
      <c r="G132" s="11">
        <f t="shared" ref="G132:G195" si="13">G131*(1+F132)</f>
        <v>1.5594127649369554</v>
      </c>
      <c r="H132" s="11">
        <f t="array" ref="H132">(D132-D131)/D131</f>
        <v>-4.2917892908588837E-3</v>
      </c>
      <c r="I132" s="12">
        <f t="shared" ref="I132:I195" si="14">I131*(1+H132)</f>
        <v>1.2351281298170942</v>
      </c>
      <c r="J132" s="25">
        <f t="shared" si="10"/>
        <v>0.32428463511986116</v>
      </c>
      <c r="K132" s="21" t="b">
        <f t="array" ref="K132">J132&gt;=($O$1+2*$O$2)</f>
        <v>1</v>
      </c>
      <c r="L132" s="22" t="b">
        <f t="shared" si="11"/>
        <v>0</v>
      </c>
    </row>
    <row r="133" spans="1:12" ht="16.5" thickBot="1" x14ac:dyDescent="0.5">
      <c r="A133" s="4">
        <v>40550</v>
      </c>
      <c r="B133" s="10">
        <v>44.900837000000003</v>
      </c>
      <c r="C133" s="24">
        <v>133.92343299999999</v>
      </c>
      <c r="D133" s="12">
        <v>15.780203999999999</v>
      </c>
      <c r="F133" s="16">
        <f t="shared" si="12"/>
        <v>7.1615251730172578E-3</v>
      </c>
      <c r="G133" s="11">
        <f t="shared" si="13"/>
        <v>1.5705805387081757</v>
      </c>
      <c r="H133" s="11">
        <f t="array" ref="H133">(D133-D132)/D132</f>
        <v>-7.0043047505923646E-3</v>
      </c>
      <c r="I133" s="12">
        <f t="shared" si="14"/>
        <v>1.2264769159898261</v>
      </c>
      <c r="J133" s="25">
        <f t="shared" si="10"/>
        <v>0.3441036227183496</v>
      </c>
      <c r="K133" s="21" t="b">
        <f t="array" ref="K133">J133&gt;=($O$1+2*$O$2)</f>
        <v>1</v>
      </c>
      <c r="L133" s="22" t="b">
        <f t="shared" si="11"/>
        <v>0</v>
      </c>
    </row>
    <row r="134" spans="1:12" ht="16.5" thickBot="1" x14ac:dyDescent="0.5">
      <c r="A134" s="4">
        <v>40553</v>
      </c>
      <c r="B134" s="10">
        <v>45.746437999999998</v>
      </c>
      <c r="C134" s="24">
        <v>133.66089700000001</v>
      </c>
      <c r="D134" s="12">
        <v>15.848701999999999</v>
      </c>
      <c r="F134" s="16">
        <f t="shared" si="12"/>
        <v>1.8832633342670092E-2</v>
      </c>
      <c r="G134" s="11">
        <f t="shared" si="13"/>
        <v>1.6001587061288001</v>
      </c>
      <c r="H134" s="11">
        <f t="array" ref="H134">(D134-D133)/D133</f>
        <v>4.3407550371338637E-3</v>
      </c>
      <c r="I134" s="12">
        <f t="shared" si="14"/>
        <v>1.2318007518408374</v>
      </c>
      <c r="J134" s="25">
        <f t="shared" si="10"/>
        <v>0.3683579542879627</v>
      </c>
      <c r="K134" s="21" t="b">
        <f t="array" ref="K134">J134&gt;=($O$1+2*$O$2)</f>
        <v>1</v>
      </c>
      <c r="L134" s="22" t="b">
        <f t="shared" si="11"/>
        <v>0</v>
      </c>
    </row>
    <row r="135" spans="1:12" ht="16.5" thickBot="1" x14ac:dyDescent="0.5">
      <c r="A135" s="4">
        <v>40554</v>
      </c>
      <c r="B135" s="10">
        <v>45.638229000000003</v>
      </c>
      <c r="C135" s="24">
        <v>133.33498299999999</v>
      </c>
      <c r="D135" s="12">
        <v>15.951447999999999</v>
      </c>
      <c r="F135" s="16">
        <f t="shared" si="12"/>
        <v>-2.3654082094871545E-3</v>
      </c>
      <c r="G135" s="11">
        <f t="shared" si="13"/>
        <v>1.5963736775888406</v>
      </c>
      <c r="H135" s="11">
        <f t="array" ref="H135">(D135-D134)/D134</f>
        <v>6.4829283811380757E-3</v>
      </c>
      <c r="I135" s="12">
        <f t="shared" si="14"/>
        <v>1.2397864278948536</v>
      </c>
      <c r="J135" s="25">
        <f t="shared" si="10"/>
        <v>0.35658724969398703</v>
      </c>
      <c r="K135" s="21" t="b">
        <f t="array" ref="K135">J135&gt;=($O$1+2*$O$2)</f>
        <v>1</v>
      </c>
      <c r="L135" s="22" t="b">
        <f t="shared" si="11"/>
        <v>0</v>
      </c>
    </row>
    <row r="136" spans="1:12" ht="16.5" thickBot="1" x14ac:dyDescent="0.5">
      <c r="A136" s="4">
        <v>40555</v>
      </c>
      <c r="B136" s="10">
        <v>46.009605999999998</v>
      </c>
      <c r="C136" s="24">
        <v>134.982665</v>
      </c>
      <c r="D136" s="12">
        <v>15.985697999999999</v>
      </c>
      <c r="F136" s="16">
        <f t="shared" si="12"/>
        <v>8.137410415290116E-3</v>
      </c>
      <c r="G136" s="11">
        <f t="shared" si="13"/>
        <v>1.6093640253795469</v>
      </c>
      <c r="H136" s="11">
        <f t="array" ref="H136">(D136-D135)/D135</f>
        <v>2.1471404978407049E-3</v>
      </c>
      <c r="I136" s="12">
        <f t="shared" si="14"/>
        <v>1.2424484235428601</v>
      </c>
      <c r="J136" s="25">
        <f t="shared" si="10"/>
        <v>0.36691560183668681</v>
      </c>
      <c r="K136" s="21" t="b">
        <f t="array" ref="K136">J136&gt;=($O$1+2*$O$2)</f>
        <v>1</v>
      </c>
      <c r="L136" s="22" t="b">
        <f t="shared" si="11"/>
        <v>0</v>
      </c>
    </row>
    <row r="137" spans="1:12" ht="16.5" thickBot="1" x14ac:dyDescent="0.5">
      <c r="A137" s="4">
        <v>40556</v>
      </c>
      <c r="B137" s="10">
        <v>46.177920999999998</v>
      </c>
      <c r="C137" s="24">
        <v>134.72917699999999</v>
      </c>
      <c r="D137" s="12">
        <v>15.925762000000001</v>
      </c>
      <c r="F137" s="16">
        <f t="shared" si="12"/>
        <v>3.6582577994690888E-3</v>
      </c>
      <c r="G137" s="11">
        <f t="shared" si="13"/>
        <v>1.6152514938775766</v>
      </c>
      <c r="H137" s="11">
        <f t="array" ref="H137">(D137-D136)/D136</f>
        <v>-3.7493514515286514E-3</v>
      </c>
      <c r="I137" s="12">
        <f t="shared" si="14"/>
        <v>1.2377900477426003</v>
      </c>
      <c r="J137" s="25">
        <f t="shared" si="10"/>
        <v>0.37746144613497634</v>
      </c>
      <c r="K137" s="21" t="b">
        <f t="array" ref="K137">J137&gt;=($O$1+2*$O$2)</f>
        <v>1</v>
      </c>
      <c r="L137" s="22" t="b">
        <f t="shared" si="11"/>
        <v>0</v>
      </c>
    </row>
    <row r="138" spans="1:12" ht="16.5" thickBot="1" x14ac:dyDescent="0.5">
      <c r="A138" s="4">
        <v>40557</v>
      </c>
      <c r="B138" s="10">
        <v>46.551962000000003</v>
      </c>
      <c r="C138" s="24">
        <v>135.79744400000001</v>
      </c>
      <c r="D138" s="12">
        <v>16.114131</v>
      </c>
      <c r="F138" s="16">
        <f t="shared" si="12"/>
        <v>8.0999965329752593E-3</v>
      </c>
      <c r="G138" s="11">
        <f t="shared" si="13"/>
        <v>1.6283350253778681</v>
      </c>
      <c r="H138" s="11">
        <f t="array" ref="H138">(D138-D137)/D137</f>
        <v>1.1827942675521572E-2</v>
      </c>
      <c r="I138" s="12">
        <f t="shared" si="14"/>
        <v>1.252430557471631</v>
      </c>
      <c r="J138" s="25">
        <f t="shared" si="10"/>
        <v>0.37590446790623711</v>
      </c>
      <c r="K138" s="21" t="b">
        <f t="array" ref="K138">J138&gt;=($O$1+2*$O$2)</f>
        <v>1</v>
      </c>
      <c r="L138" s="22" t="b">
        <f t="shared" si="11"/>
        <v>0</v>
      </c>
    </row>
    <row r="139" spans="1:12" ht="16.5" thickBot="1" x14ac:dyDescent="0.5">
      <c r="A139" s="4">
        <v>40561</v>
      </c>
      <c r="B139" s="10">
        <v>45.505988000000002</v>
      </c>
      <c r="C139" s="24">
        <v>136.38589400000001</v>
      </c>
      <c r="D139" s="12">
        <v>15.925762000000001</v>
      </c>
      <c r="F139" s="16">
        <f t="shared" si="12"/>
        <v>-2.2468956303066258E-2</v>
      </c>
      <c r="G139" s="11">
        <f t="shared" si="13"/>
        <v>1.5917480368459005</v>
      </c>
      <c r="H139" s="11">
        <f t="array" ref="H139">(D139-D138)/D138</f>
        <v>-1.1689677836179921E-2</v>
      </c>
      <c r="I139" s="12">
        <f t="shared" si="14"/>
        <v>1.2377900477426005</v>
      </c>
      <c r="J139" s="25">
        <f t="shared" si="10"/>
        <v>0.35395798910330001</v>
      </c>
      <c r="K139" s="21" t="b">
        <f t="array" ref="K139">J139&gt;=($O$1+2*$O$2)</f>
        <v>1</v>
      </c>
      <c r="L139" s="22" t="b">
        <f t="shared" si="11"/>
        <v>0</v>
      </c>
    </row>
    <row r="140" spans="1:12" ht="16.5" thickBot="1" x14ac:dyDescent="0.5">
      <c r="A140" s="4">
        <v>40562</v>
      </c>
      <c r="B140" s="10">
        <v>45.264187</v>
      </c>
      <c r="C140" s="24">
        <v>140.94869600000001</v>
      </c>
      <c r="D140" s="12">
        <v>15.694580999999999</v>
      </c>
      <c r="F140" s="16">
        <f t="shared" si="12"/>
        <v>-5.3136083980860355E-3</v>
      </c>
      <c r="G140" s="11">
        <f t="shared" si="13"/>
        <v>1.5832901111096791</v>
      </c>
      <c r="H140" s="11">
        <f t="array" ref="H140">(D140-D139)/D139</f>
        <v>-1.4516165694300918E-2</v>
      </c>
      <c r="I140" s="12">
        <f t="shared" si="14"/>
        <v>1.2198220823148123</v>
      </c>
      <c r="J140" s="25">
        <f t="shared" si="10"/>
        <v>0.36346802879486684</v>
      </c>
      <c r="K140" s="21" t="b">
        <f t="array" ref="K140">J140&gt;=($O$1+2*$O$2)</f>
        <v>1</v>
      </c>
      <c r="L140" s="22" t="b">
        <f t="shared" si="11"/>
        <v>0</v>
      </c>
    </row>
    <row r="141" spans="1:12" ht="16.5" thickBot="1" x14ac:dyDescent="0.5">
      <c r="A141" s="4">
        <v>40563</v>
      </c>
      <c r="B141" s="10">
        <v>44.441302</v>
      </c>
      <c r="C141" s="24">
        <v>141.048281</v>
      </c>
      <c r="D141" s="12">
        <v>15.780203999999999</v>
      </c>
      <c r="F141" s="16">
        <f t="shared" si="12"/>
        <v>-1.8179604109535855E-2</v>
      </c>
      <c r="G141" s="11">
        <f t="shared" si="13"/>
        <v>1.554506523699162</v>
      </c>
      <c r="H141" s="11">
        <f t="array" ref="H141">(D141-D140)/D140</f>
        <v>5.4555773104105173E-3</v>
      </c>
      <c r="I141" s="12">
        <f t="shared" si="14"/>
        <v>1.2264769159898268</v>
      </c>
      <c r="J141" s="25">
        <f t="shared" si="10"/>
        <v>0.3280296077093352</v>
      </c>
      <c r="K141" s="21" t="b">
        <f t="array" ref="K141">J141&gt;=($O$1+2*$O$2)</f>
        <v>1</v>
      </c>
      <c r="L141" s="22" t="b">
        <f t="shared" si="11"/>
        <v>0</v>
      </c>
    </row>
    <row r="142" spans="1:12" ht="16.5" thickBot="1" x14ac:dyDescent="0.5">
      <c r="A142" s="4">
        <v>40564</v>
      </c>
      <c r="B142" s="10">
        <v>43.645138000000003</v>
      </c>
      <c r="C142" s="24">
        <v>140.77668399999999</v>
      </c>
      <c r="D142" s="12">
        <v>16.901857</v>
      </c>
      <c r="F142" s="16">
        <f t="shared" si="12"/>
        <v>-1.791495667701179E-2</v>
      </c>
      <c r="G142" s="11">
        <f t="shared" si="13"/>
        <v>1.5266576066729594</v>
      </c>
      <c r="H142" s="11">
        <f t="array" ref="H142">(D142-D141)/D141</f>
        <v>7.1079752834627502E-2</v>
      </c>
      <c r="I142" s="12">
        <f t="shared" si="14"/>
        <v>1.3136545920357598</v>
      </c>
      <c r="J142" s="25">
        <f t="shared" si="10"/>
        <v>0.21300301463719951</v>
      </c>
      <c r="K142" s="21" t="b">
        <f t="array" ref="K142">J142&gt;=($O$1+2*$O$2)</f>
        <v>0</v>
      </c>
      <c r="L142" s="22" t="b">
        <f t="shared" si="11"/>
        <v>0</v>
      </c>
    </row>
    <row r="143" spans="1:12" ht="16.5" thickBot="1" x14ac:dyDescent="0.5">
      <c r="A143" s="4">
        <v>40567</v>
      </c>
      <c r="B143" s="10">
        <v>45.078507999999999</v>
      </c>
      <c r="C143" s="24">
        <v>144.51564400000001</v>
      </c>
      <c r="D143" s="12">
        <v>17.158725</v>
      </c>
      <c r="F143" s="16">
        <f t="shared" si="12"/>
        <v>3.2841458766838964E-2</v>
      </c>
      <c r="G143" s="11">
        <f t="shared" si="13"/>
        <v>1.5767952695135903</v>
      </c>
      <c r="H143" s="11">
        <f t="array" ref="H143">(D143-D142)/D142</f>
        <v>1.5197620001163231E-2</v>
      </c>
      <c r="I143" s="12">
        <f t="shared" si="14"/>
        <v>1.3336190153383023</v>
      </c>
      <c r="J143" s="25">
        <f t="shared" si="10"/>
        <v>0.24317625417528799</v>
      </c>
      <c r="K143" s="21" t="b">
        <f t="array" ref="K143">J143&gt;=($O$1+2*$O$2)</f>
        <v>1</v>
      </c>
      <c r="L143" s="22" t="b">
        <f t="shared" si="11"/>
        <v>0</v>
      </c>
    </row>
    <row r="144" spans="1:12" ht="16.5" thickBot="1" x14ac:dyDescent="0.5">
      <c r="A144" s="4">
        <v>40568</v>
      </c>
      <c r="B144" s="10">
        <v>45.606175</v>
      </c>
      <c r="C144" s="24">
        <v>146.15426500000001</v>
      </c>
      <c r="D144" s="12">
        <v>17.10735</v>
      </c>
      <c r="F144" s="16">
        <f t="shared" si="12"/>
        <v>1.1705511637607904E-2</v>
      </c>
      <c r="G144" s="11">
        <f t="shared" si="13"/>
        <v>1.5952524648910067</v>
      </c>
      <c r="H144" s="11">
        <f t="array" ref="H144">(D144-D143)/D143</f>
        <v>-2.9941035828711148E-3</v>
      </c>
      <c r="I144" s="12">
        <f t="shared" si="14"/>
        <v>1.3296260218662928</v>
      </c>
      <c r="J144" s="25">
        <f t="shared" si="10"/>
        <v>0.26562644302471394</v>
      </c>
      <c r="K144" s="21" t="b">
        <f t="array" ref="K144">J144&gt;=($O$1+2*$O$2)</f>
        <v>1</v>
      </c>
      <c r="L144" s="22" t="b">
        <f t="shared" si="11"/>
        <v>0</v>
      </c>
    </row>
    <row r="145" spans="1:12" ht="16.5" thickBot="1" x14ac:dyDescent="0.5">
      <c r="A145" s="4">
        <v>40569</v>
      </c>
      <c r="B145" s="10">
        <v>45.933458000000002</v>
      </c>
      <c r="C145" s="24">
        <v>145.79212999999999</v>
      </c>
      <c r="D145" s="12">
        <v>17.055976999999999</v>
      </c>
      <c r="F145" s="16">
        <f t="shared" si="12"/>
        <v>7.1762869830675627E-3</v>
      </c>
      <c r="G145" s="11">
        <f t="shared" si="13"/>
        <v>1.6067004543895105</v>
      </c>
      <c r="H145" s="11">
        <f t="array" ref="H145">(D145-D144)/D144</f>
        <v>-3.0029782520379642E-3</v>
      </c>
      <c r="I145" s="12">
        <f t="shared" si="14"/>
        <v>1.3256331838392845</v>
      </c>
      <c r="J145" s="25">
        <f t="shared" si="10"/>
        <v>0.28106727055022596</v>
      </c>
      <c r="K145" s="21" t="b">
        <f t="array" ref="K145">J145&gt;=($O$1+2*$O$2)</f>
        <v>1</v>
      </c>
      <c r="L145" s="22" t="b">
        <f t="shared" si="11"/>
        <v>0</v>
      </c>
    </row>
    <row r="146" spans="1:12" ht="16.5" thickBot="1" x14ac:dyDescent="0.5">
      <c r="A146" s="4">
        <v>40570</v>
      </c>
      <c r="B146" s="10">
        <v>45.847962000000003</v>
      </c>
      <c r="C146" s="24">
        <v>145.81930199999999</v>
      </c>
      <c r="D146" s="12">
        <v>17.364218000000001</v>
      </c>
      <c r="F146" s="16">
        <f t="shared" si="12"/>
        <v>-1.8613011892115573E-3</v>
      </c>
      <c r="G146" s="11">
        <f t="shared" si="13"/>
        <v>1.6037099009230484</v>
      </c>
      <c r="H146" s="11">
        <f t="array" ref="H146">(D146-D145)/D145</f>
        <v>1.8072315646298211E-2</v>
      </c>
      <c r="I146" s="12">
        <f t="shared" si="14"/>
        <v>1.3495904451688354</v>
      </c>
      <c r="J146" s="25">
        <f t="shared" si="10"/>
        <v>0.25411945575421302</v>
      </c>
      <c r="K146" s="21" t="b">
        <f t="array" ref="K146">J146&gt;=($O$1+2*$O$2)</f>
        <v>1</v>
      </c>
      <c r="L146" s="22" t="b">
        <f t="shared" si="11"/>
        <v>0</v>
      </c>
    </row>
    <row r="147" spans="1:12" ht="16.5" thickBot="1" x14ac:dyDescent="0.5">
      <c r="A147" s="4">
        <v>40571</v>
      </c>
      <c r="B147" s="10">
        <v>44.898172000000002</v>
      </c>
      <c r="C147" s="24">
        <v>144.135413</v>
      </c>
      <c r="D147" s="12">
        <v>17.295721</v>
      </c>
      <c r="F147" s="16">
        <f t="shared" si="12"/>
        <v>-2.0716078939343043E-2</v>
      </c>
      <c r="G147" s="11">
        <f t="shared" si="13"/>
        <v>1.5704873200197207</v>
      </c>
      <c r="H147" s="11">
        <f t="array" ref="H147">(D147-D146)/D146</f>
        <v>-3.9447212653055085E-3</v>
      </c>
      <c r="I147" s="12">
        <f t="shared" si="14"/>
        <v>1.3442666870403248</v>
      </c>
      <c r="J147" s="25">
        <f t="shared" si="10"/>
        <v>0.22622063297939587</v>
      </c>
      <c r="K147" s="21" t="b">
        <f t="array" ref="K147">J147&gt;=($O$1+2*$O$2)</f>
        <v>0</v>
      </c>
      <c r="L147" s="22" t="b">
        <f t="shared" si="11"/>
        <v>0</v>
      </c>
    </row>
    <row r="148" spans="1:12" ht="16.5" thickBot="1" x14ac:dyDescent="0.5">
      <c r="A148" s="4">
        <v>40574</v>
      </c>
      <c r="B148" s="10">
        <v>45.328316999999998</v>
      </c>
      <c r="C148" s="24">
        <v>146.66123999999999</v>
      </c>
      <c r="D148" s="12">
        <v>17.244346</v>
      </c>
      <c r="F148" s="16">
        <f t="shared" si="12"/>
        <v>9.5804568613616602E-3</v>
      </c>
      <c r="G148" s="11">
        <f t="shared" si="13"/>
        <v>1.585533306040485</v>
      </c>
      <c r="H148" s="11">
        <f t="array" ref="H148">(D148-D147)/D147</f>
        <v>-2.9703878780190877E-3</v>
      </c>
      <c r="I148" s="12">
        <f t="shared" si="14"/>
        <v>1.3402736935683155</v>
      </c>
      <c r="J148" s="25">
        <f t="shared" si="10"/>
        <v>0.24525961247216954</v>
      </c>
      <c r="K148" s="21" t="b">
        <f t="array" ref="K148">J148&gt;=($O$1+2*$O$2)</f>
        <v>1</v>
      </c>
      <c r="L148" s="22" t="b">
        <f t="shared" si="11"/>
        <v>0</v>
      </c>
    </row>
    <row r="149" spans="1:12" ht="16.5" thickBot="1" x14ac:dyDescent="0.5">
      <c r="A149" s="4">
        <v>40575</v>
      </c>
      <c r="B149" s="10">
        <v>46.091090000000001</v>
      </c>
      <c r="C149" s="24">
        <v>148.073531</v>
      </c>
      <c r="D149" s="12">
        <v>17.809453999999999</v>
      </c>
      <c r="F149" s="16">
        <f t="shared" si="12"/>
        <v>1.682773706334614E-2</v>
      </c>
      <c r="G149" s="11">
        <f t="shared" si="13"/>
        <v>1.6122142436197122</v>
      </c>
      <c r="H149" s="11">
        <f t="array" ref="H149">(D149-D148)/D148</f>
        <v>3.2770625224058866E-2</v>
      </c>
      <c r="I149" s="12">
        <f t="shared" si="14"/>
        <v>1.384195300477908</v>
      </c>
      <c r="J149" s="25">
        <f t="shared" si="10"/>
        <v>0.22801894314180426</v>
      </c>
      <c r="K149" s="21" t="b">
        <f t="array" ref="K149">J149&gt;=($O$1+2*$O$2)</f>
        <v>0</v>
      </c>
      <c r="L149" s="22" t="b">
        <f t="shared" si="11"/>
        <v>0</v>
      </c>
    </row>
    <row r="150" spans="1:12" ht="16.5" thickBot="1" x14ac:dyDescent="0.5">
      <c r="A150" s="4">
        <v>40576</v>
      </c>
      <c r="B150" s="10">
        <v>45.99624</v>
      </c>
      <c r="C150" s="24">
        <v>147.83815300000001</v>
      </c>
      <c r="D150" s="12">
        <v>17.732392999999998</v>
      </c>
      <c r="F150" s="16">
        <f t="shared" si="12"/>
        <v>-2.0578814690648665E-3</v>
      </c>
      <c r="G150" s="11">
        <f t="shared" si="13"/>
        <v>1.6088964978036049</v>
      </c>
      <c r="H150" s="11">
        <f t="array" ref="H150">(D150-D149)/D149</f>
        <v>-4.3269715062573223E-3</v>
      </c>
      <c r="I150" s="12">
        <f t="shared" si="14"/>
        <v>1.3782059268536448</v>
      </c>
      <c r="J150" s="25">
        <f t="shared" si="10"/>
        <v>0.23069057094996004</v>
      </c>
      <c r="K150" s="21" t="b">
        <f t="array" ref="K150">J150&gt;=($O$1+2*$O$2)</f>
        <v>0</v>
      </c>
      <c r="L150" s="22" t="b">
        <f t="shared" si="11"/>
        <v>0</v>
      </c>
    </row>
    <row r="151" spans="1:12" ht="16.5" thickBot="1" x14ac:dyDescent="0.5">
      <c r="A151" s="4">
        <v>40577</v>
      </c>
      <c r="B151" s="10">
        <v>45.878689000000001</v>
      </c>
      <c r="C151" s="24">
        <v>148.04637199999999</v>
      </c>
      <c r="D151" s="12">
        <v>17.766642999999998</v>
      </c>
      <c r="F151" s="16">
        <f t="shared" si="12"/>
        <v>-2.5556654196081867E-3</v>
      </c>
      <c r="G151" s="11">
        <f t="shared" si="13"/>
        <v>1.6047846966604395</v>
      </c>
      <c r="H151" s="11">
        <f t="array" ref="H151">(D151-D150)/D150</f>
        <v>1.9314933974224526E-3</v>
      </c>
      <c r="I151" s="12">
        <f t="shared" si="14"/>
        <v>1.3808679225016511</v>
      </c>
      <c r="J151" s="25">
        <f t="shared" si="10"/>
        <v>0.22391677415878841</v>
      </c>
      <c r="K151" s="21" t="b">
        <f t="array" ref="K151">J151&gt;=($O$1+2*$O$2)</f>
        <v>0</v>
      </c>
      <c r="L151" s="22" t="b">
        <f t="shared" si="11"/>
        <v>0</v>
      </c>
    </row>
    <row r="152" spans="1:12" ht="16.5" thickBot="1" x14ac:dyDescent="0.5">
      <c r="A152" s="4">
        <v>40578</v>
      </c>
      <c r="B152" s="10">
        <v>46.287460000000003</v>
      </c>
      <c r="C152" s="24">
        <v>148.47187199999999</v>
      </c>
      <c r="D152" s="12">
        <v>17.603960000000001</v>
      </c>
      <c r="F152" s="16">
        <f t="shared" si="12"/>
        <v>8.9098230335221996E-3</v>
      </c>
      <c r="G152" s="11">
        <f t="shared" si="13"/>
        <v>1.6190830443145887</v>
      </c>
      <c r="H152" s="11">
        <f t="array" ref="H152">(D152-D151)/D151</f>
        <v>-9.1566538484505883E-3</v>
      </c>
      <c r="I152" s="12">
        <f t="shared" si="14"/>
        <v>1.3682237929248744</v>
      </c>
      <c r="J152" s="25">
        <f t="shared" si="10"/>
        <v>0.25085925138971432</v>
      </c>
      <c r="K152" s="21" t="b">
        <f t="array" ref="K152">J152&gt;=($O$1+2*$O$2)</f>
        <v>1</v>
      </c>
      <c r="L152" s="22" t="b">
        <f t="shared" si="11"/>
        <v>0</v>
      </c>
    </row>
    <row r="153" spans="1:12" ht="16.5" thickBot="1" x14ac:dyDescent="0.5">
      <c r="A153" s="4">
        <v>40581</v>
      </c>
      <c r="B153" s="10">
        <v>47.006149999999998</v>
      </c>
      <c r="C153" s="24">
        <v>149.21423799999999</v>
      </c>
      <c r="D153" s="12">
        <v>17.869391</v>
      </c>
      <c r="F153" s="16">
        <f t="shared" si="12"/>
        <v>1.5526667481862154E-2</v>
      </c>
      <c r="G153" s="11">
        <f t="shared" si="13"/>
        <v>1.6442220083691825</v>
      </c>
      <c r="H153" s="11">
        <f t="array" ref="H153">(D153-D152)/D152</f>
        <v>1.507791428746711E-2</v>
      </c>
      <c r="I153" s="12">
        <f t="shared" si="14"/>
        <v>1.3888537540006687</v>
      </c>
      <c r="J153" s="25">
        <f t="shared" si="10"/>
        <v>0.25536825436851385</v>
      </c>
      <c r="K153" s="21" t="b">
        <f t="array" ref="K153">J153&gt;=($O$1+2*$O$2)</f>
        <v>1</v>
      </c>
      <c r="L153" s="22" t="b">
        <f t="shared" si="11"/>
        <v>0</v>
      </c>
    </row>
    <row r="154" spans="1:12" ht="16.5" thickBot="1" x14ac:dyDescent="0.5">
      <c r="A154" s="4">
        <v>40582</v>
      </c>
      <c r="B154" s="10">
        <v>47.449657000000002</v>
      </c>
      <c r="C154" s="24">
        <v>150.92296999999999</v>
      </c>
      <c r="D154" s="12">
        <v>18.220441999999998</v>
      </c>
      <c r="F154" s="16">
        <f t="shared" si="12"/>
        <v>9.4350845580845038E-3</v>
      </c>
      <c r="G154" s="11">
        <f t="shared" si="13"/>
        <v>1.659735382050409</v>
      </c>
      <c r="H154" s="11">
        <f t="array" ref="H154">(D154-D153)/D153</f>
        <v>1.9645381311539839E-2</v>
      </c>
      <c r="I154" s="12">
        <f t="shared" si="14"/>
        <v>1.4161383155839753</v>
      </c>
      <c r="J154" s="25">
        <f t="shared" si="10"/>
        <v>0.24359706646643375</v>
      </c>
      <c r="K154" s="21" t="b">
        <f t="array" ref="K154">J154&gt;=($O$1+2*$O$2)</f>
        <v>1</v>
      </c>
      <c r="L154" s="22" t="b">
        <f t="shared" si="11"/>
        <v>0</v>
      </c>
    </row>
    <row r="155" spans="1:12" ht="16.5" thickBot="1" x14ac:dyDescent="0.5">
      <c r="A155" s="4">
        <v>40583</v>
      </c>
      <c r="B155" s="10">
        <v>47.845066000000003</v>
      </c>
      <c r="C155" s="24">
        <v>149.65050099999999</v>
      </c>
      <c r="D155" s="12">
        <v>18.246127999999999</v>
      </c>
      <c r="F155" s="16">
        <f t="shared" si="12"/>
        <v>8.3332319978625079E-3</v>
      </c>
      <c r="G155" s="11">
        <f t="shared" si="13"/>
        <v>1.6735663420440958</v>
      </c>
      <c r="H155" s="11">
        <f t="array" ref="H155">(D155-D154)/D154</f>
        <v>1.4097352852362375E-3</v>
      </c>
      <c r="I155" s="12">
        <f t="shared" si="14"/>
        <v>1.4181346957362291</v>
      </c>
      <c r="J155" s="25">
        <f t="shared" si="10"/>
        <v>0.25543164630786674</v>
      </c>
      <c r="K155" s="21" t="b">
        <f t="array" ref="K155">J155&gt;=($O$1+2*$O$2)</f>
        <v>1</v>
      </c>
      <c r="L155" s="22" t="b">
        <f t="shared" si="11"/>
        <v>0</v>
      </c>
    </row>
    <row r="156" spans="1:12" ht="16.5" thickBot="1" x14ac:dyDescent="0.5">
      <c r="A156" s="4">
        <v>40584</v>
      </c>
      <c r="B156" s="10">
        <v>47.361488999999999</v>
      </c>
      <c r="C156" s="24">
        <v>149.14151899999999</v>
      </c>
      <c r="D156" s="12">
        <v>18.211880000000001</v>
      </c>
      <c r="F156" s="16">
        <f t="shared" si="12"/>
        <v>-1.0107144590416155E-2</v>
      </c>
      <c r="G156" s="11">
        <f t="shared" si="13"/>
        <v>1.6566513650434023</v>
      </c>
      <c r="H156" s="11">
        <f t="array" ref="H156">(D156-D155)/D155</f>
        <v>-1.8770009724801921E-3</v>
      </c>
      <c r="I156" s="12">
        <f t="shared" si="14"/>
        <v>1.4154728555332243</v>
      </c>
      <c r="J156" s="25">
        <f t="shared" si="10"/>
        <v>0.24117850951017794</v>
      </c>
      <c r="K156" s="21" t="b">
        <f t="array" ref="K156">J156&gt;=($O$1+2*$O$2)</f>
        <v>1</v>
      </c>
      <c r="L156" s="22" t="b">
        <f t="shared" si="11"/>
        <v>0</v>
      </c>
    </row>
    <row r="157" spans="1:12" ht="16.5" thickBot="1" x14ac:dyDescent="0.5">
      <c r="A157" s="4">
        <v>40585</v>
      </c>
      <c r="B157" s="10">
        <v>47.670070000000003</v>
      </c>
      <c r="C157" s="24">
        <v>148.92339100000001</v>
      </c>
      <c r="D157" s="12">
        <v>18.263252999999999</v>
      </c>
      <c r="F157" s="16">
        <f t="shared" si="12"/>
        <v>6.5154412691713253E-3</v>
      </c>
      <c r="G157" s="11">
        <f t="shared" si="13"/>
        <v>1.6674451797158349</v>
      </c>
      <c r="H157" s="11">
        <f t="array" ref="H157">(D157-D156)/D156</f>
        <v>2.8208510049483148E-3</v>
      </c>
      <c r="I157" s="12">
        <f t="shared" si="14"/>
        <v>1.4194656935602323</v>
      </c>
      <c r="J157" s="25">
        <f t="shared" si="10"/>
        <v>0.24797948615560261</v>
      </c>
      <c r="K157" s="21" t="b">
        <f t="array" ref="K157">J157&gt;=($O$1+2*$O$2)</f>
        <v>1</v>
      </c>
      <c r="L157" s="22" t="b">
        <f t="shared" si="11"/>
        <v>0</v>
      </c>
    </row>
    <row r="158" spans="1:12" ht="16.5" thickBot="1" x14ac:dyDescent="0.5">
      <c r="A158" s="4">
        <v>40588</v>
      </c>
      <c r="B158" s="10">
        <v>47.98133</v>
      </c>
      <c r="C158" s="24">
        <v>148.35077999999999</v>
      </c>
      <c r="D158" s="12">
        <v>18.408811</v>
      </c>
      <c r="F158" s="16">
        <f t="shared" si="12"/>
        <v>6.5294638753414288E-3</v>
      </c>
      <c r="G158" s="11">
        <f t="shared" si="13"/>
        <v>1.6783327027809019</v>
      </c>
      <c r="H158" s="11">
        <f t="array" ref="H158">(D158-D157)/D157</f>
        <v>7.9699930784510944E-3</v>
      </c>
      <c r="I158" s="12">
        <f t="shared" si="14"/>
        <v>1.4307788253130063</v>
      </c>
      <c r="J158" s="25">
        <f t="shared" si="10"/>
        <v>0.24755387746789559</v>
      </c>
      <c r="K158" s="21" t="b">
        <f t="array" ref="K158">J158&gt;=($O$1+2*$O$2)</f>
        <v>1</v>
      </c>
      <c r="L158" s="22" t="b">
        <f t="shared" si="11"/>
        <v>0</v>
      </c>
    </row>
    <row r="159" spans="1:12" ht="16.5" thickBot="1" x14ac:dyDescent="0.5">
      <c r="A159" s="4">
        <v>40589</v>
      </c>
      <c r="B159" s="10">
        <v>48.077514000000001</v>
      </c>
      <c r="C159" s="24">
        <v>148.005393</v>
      </c>
      <c r="D159" s="12">
        <v>18.374561</v>
      </c>
      <c r="F159" s="16">
        <f t="shared" si="12"/>
        <v>2.0046130442820352E-3</v>
      </c>
      <c r="G159" s="11">
        <f t="shared" si="13"/>
        <v>1.6816971104095417</v>
      </c>
      <c r="H159" s="11">
        <f t="array" ref="H159">(D159-D158)/D158</f>
        <v>-1.860522116284431E-3</v>
      </c>
      <c r="I159" s="12">
        <f t="shared" si="14"/>
        <v>1.428116829665</v>
      </c>
      <c r="J159" s="25">
        <f t="shared" si="10"/>
        <v>0.25358028074454175</v>
      </c>
      <c r="K159" s="21" t="b">
        <f t="array" ref="K159">J159&gt;=($O$1+2*$O$2)</f>
        <v>1</v>
      </c>
      <c r="L159" s="22" t="b">
        <f t="shared" si="11"/>
        <v>0</v>
      </c>
    </row>
    <row r="160" spans="1:12" ht="16.5" thickBot="1" x14ac:dyDescent="0.5">
      <c r="A160" s="4">
        <v>40590</v>
      </c>
      <c r="B160" s="10">
        <v>48.508986</v>
      </c>
      <c r="C160" s="24">
        <v>148.514375</v>
      </c>
      <c r="D160" s="12">
        <v>18.357437999999998</v>
      </c>
      <c r="F160" s="16">
        <f t="shared" si="12"/>
        <v>8.9745072925359534E-3</v>
      </c>
      <c r="G160" s="11">
        <f t="shared" si="13"/>
        <v>1.6967895133907489</v>
      </c>
      <c r="H160" s="11">
        <f t="array" ref="H160">(D160-D159)/D159</f>
        <v>-9.318862094175504E-4</v>
      </c>
      <c r="I160" s="12">
        <f t="shared" si="14"/>
        <v>1.426785987285998</v>
      </c>
      <c r="J160" s="25">
        <f t="shared" si="10"/>
        <v>0.27000352610475087</v>
      </c>
      <c r="K160" s="21" t="b">
        <f t="array" ref="K160">J160&gt;=($O$1+2*$O$2)</f>
        <v>1</v>
      </c>
      <c r="L160" s="22" t="b">
        <f t="shared" si="11"/>
        <v>0</v>
      </c>
    </row>
    <row r="161" spans="1:12" ht="16.5" thickBot="1" x14ac:dyDescent="0.5">
      <c r="A161" s="4">
        <v>40591</v>
      </c>
      <c r="B161" s="10">
        <v>47.863768</v>
      </c>
      <c r="C161" s="24">
        <v>149.277862</v>
      </c>
      <c r="D161" s="12">
        <v>18.425936</v>
      </c>
      <c r="F161" s="16">
        <f t="shared" si="12"/>
        <v>-1.3300999530272594E-2</v>
      </c>
      <c r="G161" s="11">
        <f t="shared" si="13"/>
        <v>1.6742205168701669</v>
      </c>
      <c r="H161" s="11">
        <f t="array" ref="H161">(D161-D160)/D160</f>
        <v>3.7313485683569641E-3</v>
      </c>
      <c r="I161" s="12">
        <f t="shared" si="14"/>
        <v>1.4321098231370095</v>
      </c>
      <c r="J161" s="25">
        <f t="shared" si="10"/>
        <v>0.24211069373315741</v>
      </c>
      <c r="K161" s="21" t="b">
        <f t="array" ref="K161">J161&gt;=($O$1+2*$O$2)</f>
        <v>1</v>
      </c>
      <c r="L161" s="22" t="b">
        <f t="shared" si="11"/>
        <v>0</v>
      </c>
    </row>
    <row r="162" spans="1:12" ht="16.5" thickBot="1" x14ac:dyDescent="0.5">
      <c r="A162" s="4">
        <v>40592</v>
      </c>
      <c r="B162" s="10">
        <v>46.829819999999998</v>
      </c>
      <c r="C162" s="24">
        <v>149.823194</v>
      </c>
      <c r="D162" s="12">
        <v>18.357437999999998</v>
      </c>
      <c r="F162" s="16">
        <f t="shared" si="12"/>
        <v>-2.1601893106284534E-2</v>
      </c>
      <c r="G162" s="11">
        <f t="shared" si="13"/>
        <v>1.6380541842283891</v>
      </c>
      <c r="H162" s="11">
        <f t="array" ref="H162">(D162-D161)/D161</f>
        <v>-3.7174773645149818E-3</v>
      </c>
      <c r="I162" s="12">
        <f t="shared" si="14"/>
        <v>1.426785987285998</v>
      </c>
      <c r="J162" s="25">
        <f t="shared" si="10"/>
        <v>0.21126819694239107</v>
      </c>
      <c r="K162" s="21" t="b">
        <f t="array" ref="K162">J162&gt;=($O$1+2*$O$2)</f>
        <v>0</v>
      </c>
      <c r="L162" s="22" t="b">
        <f t="shared" si="11"/>
        <v>0</v>
      </c>
    </row>
    <row r="163" spans="1:12" ht="16.5" thickBot="1" x14ac:dyDescent="0.5">
      <c r="A163" s="4">
        <v>40596</v>
      </c>
      <c r="B163" s="10">
        <v>45.233471000000002</v>
      </c>
      <c r="C163" s="24">
        <v>147.196472</v>
      </c>
      <c r="D163" s="12">
        <v>17.826578000000001</v>
      </c>
      <c r="F163" s="16">
        <f t="shared" si="12"/>
        <v>-3.4088301001370419E-2</v>
      </c>
      <c r="G163" s="11">
        <f t="shared" si="13"/>
        <v>1.5822157001398576</v>
      </c>
      <c r="H163" s="11">
        <f t="array" ref="H163">(D163-D162)/D162</f>
        <v>-2.8917978641681757E-2</v>
      </c>
      <c r="I163" s="12">
        <f t="shared" si="14"/>
        <v>1.3855262205794108</v>
      </c>
      <c r="J163" s="25">
        <f t="shared" si="10"/>
        <v>0.1966894795604468</v>
      </c>
      <c r="K163" s="21" t="b">
        <f t="array" ref="K163">J163&gt;=($O$1+2*$O$2)</f>
        <v>0</v>
      </c>
      <c r="L163" s="22" t="b">
        <f t="shared" si="11"/>
        <v>0</v>
      </c>
    </row>
    <row r="164" spans="1:12" ht="16.5" thickBot="1" x14ac:dyDescent="0.5">
      <c r="A164" s="4">
        <v>40597</v>
      </c>
      <c r="B164" s="10">
        <v>45.769142000000002</v>
      </c>
      <c r="C164" s="24">
        <v>145.58771400000001</v>
      </c>
      <c r="D164" s="12">
        <v>17.441279000000002</v>
      </c>
      <c r="F164" s="16">
        <f t="shared" si="12"/>
        <v>1.1842358946984207E-2</v>
      </c>
      <c r="G164" s="11">
        <f t="shared" si="13"/>
        <v>1.6009528663924677</v>
      </c>
      <c r="H164" s="11">
        <f t="array" ref="H164">(D164-D163)/D163</f>
        <v>-2.1613738766913079E-2</v>
      </c>
      <c r="I164" s="12">
        <f t="shared" si="14"/>
        <v>1.355579818793099</v>
      </c>
      <c r="J164" s="25">
        <f t="shared" si="10"/>
        <v>0.24537304759936873</v>
      </c>
      <c r="K164" s="21" t="b">
        <f t="array" ref="K164">J164&gt;=($O$1+2*$O$2)</f>
        <v>1</v>
      </c>
      <c r="L164" s="22" t="b">
        <f t="shared" si="11"/>
        <v>0</v>
      </c>
    </row>
    <row r="165" spans="1:12" ht="16.5" thickBot="1" x14ac:dyDescent="0.5">
      <c r="A165" s="4">
        <v>40598</v>
      </c>
      <c r="B165" s="10">
        <v>45.803882999999999</v>
      </c>
      <c r="C165" s="24">
        <v>146.123975</v>
      </c>
      <c r="D165" s="12">
        <v>17.743030000000001</v>
      </c>
      <c r="F165" s="16">
        <f t="shared" si="12"/>
        <v>7.5904853099489607E-4</v>
      </c>
      <c r="G165" s="11">
        <f t="shared" si="13"/>
        <v>1.6021680673138952</v>
      </c>
      <c r="H165" s="11">
        <f t="array" ref="H165">(D165-D164)/D164</f>
        <v>1.7300967434784997E-2</v>
      </c>
      <c r="I165" s="12">
        <f t="shared" si="14"/>
        <v>1.3790326610932901</v>
      </c>
      <c r="J165" s="25">
        <f t="shared" si="10"/>
        <v>0.22313540622060501</v>
      </c>
      <c r="K165" s="21" t="b">
        <f t="array" ref="K165">J165&gt;=($O$1+2*$O$2)</f>
        <v>0</v>
      </c>
      <c r="L165" s="22" t="b">
        <f t="shared" si="11"/>
        <v>0</v>
      </c>
    </row>
    <row r="166" spans="1:12" ht="16.5" thickBot="1" x14ac:dyDescent="0.5">
      <c r="A166" s="4">
        <v>40599</v>
      </c>
      <c r="B166" s="10">
        <v>46.509210000000003</v>
      </c>
      <c r="C166" s="24">
        <v>147.49641099999999</v>
      </c>
      <c r="D166" s="12">
        <v>17.949946000000001</v>
      </c>
      <c r="F166" s="16">
        <f t="shared" si="12"/>
        <v>1.5398847298601389E-2</v>
      </c>
      <c r="G166" s="11">
        <f t="shared" si="13"/>
        <v>1.626839608729157</v>
      </c>
      <c r="H166" s="11">
        <f t="array" ref="H166">(D166-D165)/D165</f>
        <v>1.1661818753617598E-2</v>
      </c>
      <c r="I166" s="12">
        <f t="shared" si="14"/>
        <v>1.3951146900422788</v>
      </c>
      <c r="J166" s="25">
        <f t="shared" si="10"/>
        <v>0.23172491868687817</v>
      </c>
      <c r="K166" s="21" t="b">
        <f t="array" ref="K166">J166&gt;=($O$1+2*$O$2)</f>
        <v>0</v>
      </c>
      <c r="L166" s="22" t="b">
        <f t="shared" si="11"/>
        <v>0</v>
      </c>
    </row>
    <row r="167" spans="1:12" ht="16.5" thickBot="1" x14ac:dyDescent="0.5">
      <c r="A167" s="4">
        <v>40602</v>
      </c>
      <c r="B167" s="10">
        <v>47.183816999999998</v>
      </c>
      <c r="C167" s="24">
        <v>147.132856</v>
      </c>
      <c r="D167" s="12">
        <v>18.036161</v>
      </c>
      <c r="F167" s="16">
        <f t="shared" si="12"/>
        <v>1.4504804532263493E-2</v>
      </c>
      <c r="G167" s="11">
        <f t="shared" si="13"/>
        <v>1.6504365992591175</v>
      </c>
      <c r="H167" s="11">
        <f t="array" ref="H167">(D167-D166)/D166</f>
        <v>4.8030785162250216E-3</v>
      </c>
      <c r="I167" s="12">
        <f t="shared" si="14"/>
        <v>1.4018155354376907</v>
      </c>
      <c r="J167" s="25">
        <f t="shared" si="10"/>
        <v>0.24862106382142679</v>
      </c>
      <c r="K167" s="21" t="b">
        <f t="array" ref="K167">J167&gt;=($O$1+2*$O$2)</f>
        <v>1</v>
      </c>
      <c r="L167" s="22" t="b">
        <f t="shared" si="11"/>
        <v>0</v>
      </c>
    </row>
    <row r="168" spans="1:12" ht="16.5" thickBot="1" x14ac:dyDescent="0.5">
      <c r="A168" s="4">
        <v>40603</v>
      </c>
      <c r="B168" s="10">
        <v>46.662835000000001</v>
      </c>
      <c r="C168" s="24">
        <v>145.396852</v>
      </c>
      <c r="D168" s="12">
        <v>17.458521000000001</v>
      </c>
      <c r="F168" s="16">
        <f t="shared" si="12"/>
        <v>-1.1041539941543867E-2</v>
      </c>
      <c r="G168" s="11">
        <f t="shared" si="13"/>
        <v>1.6322132376274121</v>
      </c>
      <c r="H168" s="11">
        <f t="array" ref="H168">(D168-D167)/D167</f>
        <v>-3.2026771107221699E-2</v>
      </c>
      <c r="I168" s="12">
        <f t="shared" si="14"/>
        <v>1.3569199101496803</v>
      </c>
      <c r="J168" s="25">
        <f t="shared" si="10"/>
        <v>0.27529332747773183</v>
      </c>
      <c r="K168" s="21" t="b">
        <f t="array" ref="K168">J168&gt;=($O$1+2*$O$2)</f>
        <v>1</v>
      </c>
      <c r="L168" s="22" t="b">
        <f t="shared" si="11"/>
        <v>0</v>
      </c>
    </row>
    <row r="169" spans="1:12" ht="16.5" thickBot="1" x14ac:dyDescent="0.5">
      <c r="A169" s="4">
        <v>40604</v>
      </c>
      <c r="B169" s="10">
        <v>47.038215000000001</v>
      </c>
      <c r="C169" s="24">
        <v>145.56954500000001</v>
      </c>
      <c r="D169" s="12">
        <v>17.518871000000001</v>
      </c>
      <c r="F169" s="16">
        <f t="shared" si="12"/>
        <v>8.0445176552174733E-3</v>
      </c>
      <c r="G169" s="11">
        <f t="shared" si="13"/>
        <v>1.6453436058345856</v>
      </c>
      <c r="H169" s="11">
        <f t="array" ref="H169">(D169-D168)/D168</f>
        <v>3.4567647511492914E-3</v>
      </c>
      <c r="I169" s="12">
        <f t="shared" si="14"/>
        <v>1.3616104630652182</v>
      </c>
      <c r="J169" s="25">
        <f t="shared" si="10"/>
        <v>0.28373314276936745</v>
      </c>
      <c r="K169" s="21" t="b">
        <f t="array" ref="K169">J169&gt;=($O$1+2*$O$2)</f>
        <v>1</v>
      </c>
      <c r="L169" s="22" t="b">
        <f t="shared" si="11"/>
        <v>0</v>
      </c>
    </row>
    <row r="170" spans="1:12" ht="16.5" thickBot="1" x14ac:dyDescent="0.5">
      <c r="A170" s="4">
        <v>40605</v>
      </c>
      <c r="B170" s="10">
        <v>48.032086999999997</v>
      </c>
      <c r="C170" s="24">
        <v>148.58708899999999</v>
      </c>
      <c r="D170" s="12">
        <v>17.889595</v>
      </c>
      <c r="F170" s="16">
        <f t="shared" si="12"/>
        <v>2.1129033063860863E-2</v>
      </c>
      <c r="G170" s="11">
        <f t="shared" si="13"/>
        <v>1.6801081252836767</v>
      </c>
      <c r="H170" s="11">
        <f t="array" ref="H170">(D170-D169)/D169</f>
        <v>2.1161409316844626E-2</v>
      </c>
      <c r="I170" s="12">
        <f t="shared" si="14"/>
        <v>1.3904240594042396</v>
      </c>
      <c r="J170" s="25">
        <f t="shared" si="10"/>
        <v>0.28968406587943707</v>
      </c>
      <c r="K170" s="21" t="b">
        <f t="array" ref="K170">J170&gt;=($O$1+2*$O$2)</f>
        <v>1</v>
      </c>
      <c r="L170" s="22" t="b">
        <f t="shared" si="11"/>
        <v>0</v>
      </c>
    </row>
    <row r="171" spans="1:12" ht="16.5" thickBot="1" x14ac:dyDescent="0.5">
      <c r="A171" s="4">
        <v>40606</v>
      </c>
      <c r="B171" s="10">
        <v>48.090865999999998</v>
      </c>
      <c r="C171" s="24">
        <v>147.08740800000001</v>
      </c>
      <c r="D171" s="12">
        <v>17.561979000000001</v>
      </c>
      <c r="F171" s="16">
        <f t="shared" si="12"/>
        <v>1.2237444523283208E-3</v>
      </c>
      <c r="G171" s="11">
        <f t="shared" si="13"/>
        <v>1.6821641482813046</v>
      </c>
      <c r="H171" s="11">
        <f t="array" ref="H171">(D171-D170)/D170</f>
        <v>-1.8313215028065141E-2</v>
      </c>
      <c r="I171" s="12">
        <f t="shared" si="14"/>
        <v>1.3649609246241745</v>
      </c>
      <c r="J171" s="25">
        <f t="shared" si="10"/>
        <v>0.31720322365713005</v>
      </c>
      <c r="K171" s="21" t="b">
        <f t="array" ref="K171">J171&gt;=($O$1+2*$O$2)</f>
        <v>1</v>
      </c>
      <c r="L171" s="22" t="b">
        <f t="shared" si="11"/>
        <v>0</v>
      </c>
    </row>
    <row r="172" spans="1:12" ht="16.5" thickBot="1" x14ac:dyDescent="0.5">
      <c r="A172" s="4">
        <v>40609</v>
      </c>
      <c r="B172" s="10">
        <v>47.471024</v>
      </c>
      <c r="C172" s="24">
        <v>145.360488</v>
      </c>
      <c r="D172" s="12">
        <v>17.570599999999999</v>
      </c>
      <c r="F172" s="16">
        <f t="shared" si="12"/>
        <v>-1.2888975632087775E-2</v>
      </c>
      <c r="G172" s="11">
        <f t="shared" si="13"/>
        <v>1.6604827755649352</v>
      </c>
      <c r="H172" s="11">
        <f t="array" ref="H172">(D172-D171)/D171</f>
        <v>4.9089000732764751E-4</v>
      </c>
      <c r="I172" s="12">
        <f t="shared" si="14"/>
        <v>1.3656309703024654</v>
      </c>
      <c r="J172" s="25">
        <f t="shared" si="10"/>
        <v>0.29485180526246979</v>
      </c>
      <c r="K172" s="21" t="b">
        <f t="array" ref="K172">J172&gt;=($O$1+2*$O$2)</f>
        <v>1</v>
      </c>
      <c r="L172" s="22" t="b">
        <f t="shared" si="11"/>
        <v>0</v>
      </c>
    </row>
    <row r="173" spans="1:12" ht="16.5" thickBot="1" x14ac:dyDescent="0.5">
      <c r="A173" s="4">
        <v>40610</v>
      </c>
      <c r="B173" s="10">
        <v>47.524467000000001</v>
      </c>
      <c r="C173" s="24">
        <v>147.49641099999999</v>
      </c>
      <c r="D173" s="12">
        <v>17.786137</v>
      </c>
      <c r="F173" s="16">
        <f t="shared" si="12"/>
        <v>1.125802552731988E-3</v>
      </c>
      <c r="G173" s="11">
        <f t="shared" si="13"/>
        <v>1.6623521513124337</v>
      </c>
      <c r="H173" s="11">
        <f t="array" ref="H173">(D173-D172)/D172</f>
        <v>1.2266911773075548E-2</v>
      </c>
      <c r="I173" s="12">
        <f t="shared" si="14"/>
        <v>1.3823830449297454</v>
      </c>
      <c r="J173" s="25">
        <f t="shared" si="10"/>
        <v>0.27996910638268835</v>
      </c>
      <c r="K173" s="21" t="b">
        <f t="array" ref="K173">J173&gt;=($O$1+2*$O$2)</f>
        <v>1</v>
      </c>
      <c r="L173" s="22" t="b">
        <f t="shared" si="11"/>
        <v>0</v>
      </c>
    </row>
    <row r="174" spans="1:12" ht="16.5" thickBot="1" x14ac:dyDescent="0.5">
      <c r="A174" s="4">
        <v>40611</v>
      </c>
      <c r="B174" s="10">
        <v>47.084969000000001</v>
      </c>
      <c r="C174" s="24">
        <v>150.75027700000001</v>
      </c>
      <c r="D174" s="12">
        <v>17.786137</v>
      </c>
      <c r="F174" s="16">
        <f t="shared" si="12"/>
        <v>-9.2478259672012821E-3</v>
      </c>
      <c r="G174" s="11">
        <f t="shared" si="13"/>
        <v>1.6469790079208937</v>
      </c>
      <c r="H174" s="11">
        <f t="array" ref="H174">(D174-D173)/D173</f>
        <v>0</v>
      </c>
      <c r="I174" s="12">
        <f t="shared" si="14"/>
        <v>1.3823830449297454</v>
      </c>
      <c r="J174" s="25">
        <f t="shared" si="10"/>
        <v>0.26459596299114829</v>
      </c>
      <c r="K174" s="21" t="b">
        <f t="array" ref="K174">J174&gt;=($O$1+2*$O$2)</f>
        <v>1</v>
      </c>
      <c r="L174" s="22" t="b">
        <f t="shared" si="11"/>
        <v>0</v>
      </c>
    </row>
    <row r="175" spans="1:12" ht="16.5" thickBot="1" x14ac:dyDescent="0.5">
      <c r="A175" s="4">
        <v>40612</v>
      </c>
      <c r="B175" s="10">
        <v>46.310172000000001</v>
      </c>
      <c r="C175" s="24">
        <v>147.26010099999999</v>
      </c>
      <c r="D175" s="12">
        <v>17.329198999999999</v>
      </c>
      <c r="F175" s="16">
        <f t="shared" si="12"/>
        <v>-1.6455293832730346E-2</v>
      </c>
      <c r="G175" s="11">
        <f t="shared" si="13"/>
        <v>1.6198774844092165</v>
      </c>
      <c r="H175" s="11">
        <f t="array" ref="H175">(D175-D174)/D174</f>
        <v>-2.5690682580483945E-2</v>
      </c>
      <c r="I175" s="12">
        <f t="shared" si="14"/>
        <v>1.3468686809178125</v>
      </c>
      <c r="J175" s="25">
        <f t="shared" si="10"/>
        <v>0.273008803491404</v>
      </c>
      <c r="K175" s="21" t="b">
        <f t="array" ref="K175">J175&gt;=($O$1+2*$O$2)</f>
        <v>1</v>
      </c>
      <c r="L175" s="22" t="b">
        <f t="shared" si="11"/>
        <v>0</v>
      </c>
    </row>
    <row r="176" spans="1:12" ht="16.5" thickBot="1" x14ac:dyDescent="0.5">
      <c r="A176" s="4">
        <v>40613</v>
      </c>
      <c r="B176" s="10">
        <v>47.020850000000003</v>
      </c>
      <c r="C176" s="24">
        <v>147.63274000000001</v>
      </c>
      <c r="D176" s="12">
        <v>17.553357999999999</v>
      </c>
      <c r="F176" s="16">
        <f t="shared" si="12"/>
        <v>1.5346045356946666E-2</v>
      </c>
      <c r="G176" s="11">
        <f t="shared" si="13"/>
        <v>1.6447361977576571</v>
      </c>
      <c r="H176" s="11">
        <f t="array" ref="H176">(D176-D175)/D175</f>
        <v>1.2935335326231768E-2</v>
      </c>
      <c r="I176" s="12">
        <f t="shared" si="14"/>
        <v>1.3642908789458839</v>
      </c>
      <c r="J176" s="25">
        <f t="shared" si="10"/>
        <v>0.28044531881177326</v>
      </c>
      <c r="K176" s="21" t="b">
        <f t="array" ref="K176">J176&gt;=($O$1+2*$O$2)</f>
        <v>1</v>
      </c>
      <c r="L176" s="22" t="b">
        <f t="shared" si="11"/>
        <v>0</v>
      </c>
    </row>
    <row r="177" spans="1:12" ht="16.5" thickBot="1" x14ac:dyDescent="0.5">
      <c r="A177" s="4">
        <v>40616</v>
      </c>
      <c r="B177" s="10">
        <v>47.230575000000002</v>
      </c>
      <c r="C177" s="24">
        <v>146.68749</v>
      </c>
      <c r="D177" s="12">
        <v>17.174012000000001</v>
      </c>
      <c r="F177" s="16">
        <f t="shared" si="12"/>
        <v>4.4602553973396653E-3</v>
      </c>
      <c r="G177" s="11">
        <f t="shared" si="13"/>
        <v>1.6520721412609056</v>
      </c>
      <c r="H177" s="11">
        <f t="array" ref="H177">(D177-D176)/D176</f>
        <v>-2.1611021663205308E-2</v>
      </c>
      <c r="I177" s="12">
        <f t="shared" si="14"/>
        <v>1.3348071592060711</v>
      </c>
      <c r="J177" s="25">
        <f t="shared" si="10"/>
        <v>0.31726498205483455</v>
      </c>
      <c r="K177" s="21" t="b">
        <f t="array" ref="K177">J177&gt;=($O$1+2*$O$2)</f>
        <v>1</v>
      </c>
      <c r="L177" s="22" t="b">
        <f t="shared" si="11"/>
        <v>0</v>
      </c>
    </row>
    <row r="178" spans="1:12" ht="16.5" thickBot="1" x14ac:dyDescent="0.5">
      <c r="A178" s="4">
        <v>40617</v>
      </c>
      <c r="B178" s="10">
        <v>46.144522000000002</v>
      </c>
      <c r="C178" s="24">
        <v>144.533399</v>
      </c>
      <c r="D178" s="12">
        <v>16.906745999999998</v>
      </c>
      <c r="F178" s="16">
        <f t="shared" si="12"/>
        <v>-2.299470205476007E-2</v>
      </c>
      <c r="G178" s="11">
        <f t="shared" si="13"/>
        <v>1.6140832345996416</v>
      </c>
      <c r="H178" s="11">
        <f t="array" ref="H178">(D178-D177)/D177</f>
        <v>-1.5562234380644597E-2</v>
      </c>
      <c r="I178" s="12">
        <f t="shared" si="14"/>
        <v>1.3140345773415438</v>
      </c>
      <c r="J178" s="25">
        <f t="shared" si="10"/>
        <v>0.30004865725809782</v>
      </c>
      <c r="K178" s="21" t="b">
        <f t="array" ref="K178">J178&gt;=($O$1+2*$O$2)</f>
        <v>1</v>
      </c>
      <c r="L178" s="22" t="b">
        <f t="shared" si="11"/>
        <v>0</v>
      </c>
    </row>
    <row r="179" spans="1:12" ht="16.5" thickBot="1" x14ac:dyDescent="0.5">
      <c r="A179" s="4">
        <v>40618</v>
      </c>
      <c r="B179" s="10">
        <v>44.084636000000003</v>
      </c>
      <c r="C179" s="24">
        <v>139.061813</v>
      </c>
      <c r="D179" s="12">
        <v>16.337727999999998</v>
      </c>
      <c r="F179" s="16">
        <f t="shared" si="12"/>
        <v>-4.4639881631020006E-2</v>
      </c>
      <c r="G179" s="11">
        <f t="shared" si="13"/>
        <v>1.5420307500644996</v>
      </c>
      <c r="H179" s="11">
        <f t="array" ref="H179">(D179-D178)/D178</f>
        <v>-3.3656269515139094E-2</v>
      </c>
      <c r="I179" s="12">
        <f t="shared" si="14"/>
        <v>1.269809075454325</v>
      </c>
      <c r="J179" s="25">
        <f t="shared" si="10"/>
        <v>0.27222167461017466</v>
      </c>
      <c r="K179" s="21" t="b">
        <f t="array" ref="K179">J179&gt;=($O$1+2*$O$2)</f>
        <v>1</v>
      </c>
      <c r="L179" s="22" t="b">
        <f t="shared" si="11"/>
        <v>0</v>
      </c>
    </row>
    <row r="180" spans="1:12" ht="16.5" thickBot="1" x14ac:dyDescent="0.5">
      <c r="A180" s="4">
        <v>40619</v>
      </c>
      <c r="B180" s="10">
        <v>44.703128999999997</v>
      </c>
      <c r="C180" s="24">
        <v>140.134309</v>
      </c>
      <c r="D180" s="12">
        <v>16.570506999999999</v>
      </c>
      <c r="F180" s="16">
        <f t="shared" si="12"/>
        <v>1.4029672378376759E-2</v>
      </c>
      <c r="G180" s="11">
        <f t="shared" si="13"/>
        <v>1.5636649362852872</v>
      </c>
      <c r="H180" s="11">
        <f t="array" ref="H180">(D180-D179)/D179</f>
        <v>1.4247941941498889E-2</v>
      </c>
      <c r="I180" s="12">
        <f t="shared" si="14"/>
        <v>1.2879012414381865</v>
      </c>
      <c r="J180" s="25">
        <f t="shared" si="10"/>
        <v>0.27576369484710073</v>
      </c>
      <c r="K180" s="21" t="b">
        <f t="array" ref="K180">J180&gt;=($O$1+2*$O$2)</f>
        <v>1</v>
      </c>
      <c r="L180" s="22" t="b">
        <f t="shared" si="11"/>
        <v>0</v>
      </c>
    </row>
    <row r="181" spans="1:12" ht="16.5" thickBot="1" x14ac:dyDescent="0.5">
      <c r="A181" s="4">
        <v>40620</v>
      </c>
      <c r="B181" s="10">
        <v>44.172797000000003</v>
      </c>
      <c r="C181" s="24">
        <v>141.688535</v>
      </c>
      <c r="D181" s="12">
        <v>16.596371999999999</v>
      </c>
      <c r="F181" s="16">
        <f t="shared" si="12"/>
        <v>-1.1863420119875597E-2</v>
      </c>
      <c r="G181" s="11">
        <f t="shared" si="13"/>
        <v>1.5451145222194163</v>
      </c>
      <c r="H181" s="11">
        <f t="array" ref="H181">(D181-D180)/D180</f>
        <v>1.5609057707165861E-3</v>
      </c>
      <c r="I181" s="12">
        <f t="shared" si="14"/>
        <v>1.2899115339180605</v>
      </c>
      <c r="J181" s="25">
        <f t="shared" si="10"/>
        <v>0.25520298830135579</v>
      </c>
      <c r="K181" s="21" t="b">
        <f t="array" ref="K181">J181&gt;=($O$1+2*$O$2)</f>
        <v>1</v>
      </c>
      <c r="L181" s="22" t="b">
        <f t="shared" si="11"/>
        <v>0</v>
      </c>
    </row>
    <row r="182" spans="1:12" ht="16.5" thickBot="1" x14ac:dyDescent="0.5">
      <c r="A182" s="4">
        <v>40623</v>
      </c>
      <c r="B182" s="10">
        <v>45.325645000000002</v>
      </c>
      <c r="C182" s="24">
        <v>143.315462</v>
      </c>
      <c r="D182" s="12">
        <v>17.001581000000002</v>
      </c>
      <c r="F182" s="16">
        <f t="shared" si="12"/>
        <v>2.6098596382746572E-2</v>
      </c>
      <c r="G182" s="11">
        <f t="shared" si="13"/>
        <v>1.585439842499941</v>
      </c>
      <c r="H182" s="11">
        <f t="array" ref="H182">(D182-D181)/D181</f>
        <v>2.4415516837053473E-2</v>
      </c>
      <c r="I182" s="12">
        <f t="shared" si="14"/>
        <v>1.3214053906927463</v>
      </c>
      <c r="J182" s="25">
        <f t="shared" si="10"/>
        <v>0.26403445180719465</v>
      </c>
      <c r="K182" s="21" t="b">
        <f t="array" ref="K182">J182&gt;=($O$1+2*$O$2)</f>
        <v>1</v>
      </c>
      <c r="L182" s="22" t="b">
        <f t="shared" si="11"/>
        <v>0</v>
      </c>
    </row>
    <row r="183" spans="1:12" ht="16.5" thickBot="1" x14ac:dyDescent="0.5">
      <c r="A183" s="4">
        <v>40624</v>
      </c>
      <c r="B183" s="10">
        <v>45.579456999999998</v>
      </c>
      <c r="C183" s="24">
        <v>143.60631699999999</v>
      </c>
      <c r="D183" s="12">
        <v>16.803287000000001</v>
      </c>
      <c r="F183" s="16">
        <f t="shared" si="12"/>
        <v>5.5997438094923168E-3</v>
      </c>
      <c r="G183" s="11">
        <f t="shared" si="13"/>
        <v>1.5943178994433025</v>
      </c>
      <c r="H183" s="11">
        <f t="array" ref="H183">(D183-D182)/D182</f>
        <v>-1.1663268257228585E-2</v>
      </c>
      <c r="I183" s="12">
        <f t="shared" si="14"/>
        <v>1.3059934851445487</v>
      </c>
      <c r="J183" s="25">
        <f t="shared" si="10"/>
        <v>0.28832441429875377</v>
      </c>
      <c r="K183" s="21" t="b">
        <f t="array" ref="K183">J183&gt;=($O$1+2*$O$2)</f>
        <v>1</v>
      </c>
      <c r="L183" s="22" t="b">
        <f t="shared" si="11"/>
        <v>0</v>
      </c>
    </row>
    <row r="184" spans="1:12" ht="16.5" thickBot="1" x14ac:dyDescent="0.5">
      <c r="A184" s="4">
        <v>40625</v>
      </c>
      <c r="B184" s="10">
        <v>45.310944999999997</v>
      </c>
      <c r="C184" s="24">
        <v>144.99693400000001</v>
      </c>
      <c r="D184" s="12">
        <v>16.837774</v>
      </c>
      <c r="F184" s="16">
        <f t="shared" si="12"/>
        <v>-5.8910750077606497E-3</v>
      </c>
      <c r="G184" s="11">
        <f t="shared" si="13"/>
        <v>1.5849256531114666</v>
      </c>
      <c r="H184" s="11">
        <f t="array" ref="H184">(D184-D183)/D183</f>
        <v>2.0523960579854764E-3</v>
      </c>
      <c r="I184" s="12">
        <f t="shared" si="14"/>
        <v>1.3086739010252142</v>
      </c>
      <c r="J184" s="25">
        <f t="shared" si="10"/>
        <v>0.27625175208625241</v>
      </c>
      <c r="K184" s="21" t="b">
        <f t="array" ref="K184">J184&gt;=($O$1+2*$O$2)</f>
        <v>1</v>
      </c>
      <c r="L184" s="22" t="b">
        <f t="shared" si="11"/>
        <v>0</v>
      </c>
    </row>
    <row r="185" spans="1:12" ht="16.5" thickBot="1" x14ac:dyDescent="0.5">
      <c r="A185" s="4">
        <v>40626</v>
      </c>
      <c r="B185" s="10">
        <v>46.083074000000003</v>
      </c>
      <c r="C185" s="24">
        <v>145.46046799999999</v>
      </c>
      <c r="D185" s="12">
        <v>17.053311000000001</v>
      </c>
      <c r="F185" s="16">
        <f t="shared" si="12"/>
        <v>1.7040673064753049E-2</v>
      </c>
      <c r="G185" s="11">
        <f t="shared" si="13"/>
        <v>1.6119338529980791</v>
      </c>
      <c r="H185" s="11">
        <f t="array" ref="H185">(D185-D184)/D184</f>
        <v>1.2800801341079955E-2</v>
      </c>
      <c r="I185" s="12">
        <f t="shared" si="14"/>
        <v>1.325425975652494</v>
      </c>
      <c r="J185" s="25">
        <f t="shared" si="10"/>
        <v>0.28650787734558514</v>
      </c>
      <c r="K185" s="21" t="b">
        <f t="array" ref="K185">J185&gt;=($O$1+2*$O$2)</f>
        <v>1</v>
      </c>
      <c r="L185" s="22" t="b">
        <f t="shared" si="11"/>
        <v>0</v>
      </c>
    </row>
    <row r="186" spans="1:12" ht="16.5" thickBot="1" x14ac:dyDescent="0.5">
      <c r="A186" s="4">
        <v>40627</v>
      </c>
      <c r="B186" s="10">
        <v>46.960732999999998</v>
      </c>
      <c r="C186" s="24">
        <v>147.40551500000001</v>
      </c>
      <c r="D186" s="12">
        <v>17.027446000000001</v>
      </c>
      <c r="F186" s="16">
        <f t="shared" si="12"/>
        <v>1.9045148767636338E-2</v>
      </c>
      <c r="G186" s="11">
        <f t="shared" si="13"/>
        <v>1.6426333730320168</v>
      </c>
      <c r="H186" s="11">
        <f t="array" ref="H186">(D186-D185)/D185</f>
        <v>-1.5167142615295987E-3</v>
      </c>
      <c r="I186" s="12">
        <f t="shared" si="14"/>
        <v>1.32341568317262</v>
      </c>
      <c r="J186" s="25">
        <f t="shared" si="10"/>
        <v>0.3192176898593968</v>
      </c>
      <c r="K186" s="21" t="b">
        <f t="array" ref="K186">J186&gt;=($O$1+2*$O$2)</f>
        <v>1</v>
      </c>
      <c r="L186" s="22" t="b">
        <f t="shared" si="11"/>
        <v>0</v>
      </c>
    </row>
    <row r="187" spans="1:12" ht="16.5" thickBot="1" x14ac:dyDescent="0.5">
      <c r="A187" s="4">
        <v>40630</v>
      </c>
      <c r="B187" s="10">
        <v>46.813789</v>
      </c>
      <c r="C187" s="24">
        <v>146.669308</v>
      </c>
      <c r="D187" s="12">
        <v>17.027446000000001</v>
      </c>
      <c r="F187" s="16">
        <f t="shared" si="12"/>
        <v>-3.1290823335316711E-3</v>
      </c>
      <c r="G187" s="11">
        <f t="shared" si="13"/>
        <v>1.6374934379639927</v>
      </c>
      <c r="H187" s="11">
        <f t="array" ref="H187">(D187-D186)/D186</f>
        <v>0</v>
      </c>
      <c r="I187" s="12">
        <f t="shared" si="14"/>
        <v>1.32341568317262</v>
      </c>
      <c r="J187" s="25">
        <f t="shared" si="10"/>
        <v>0.31407775479137268</v>
      </c>
      <c r="K187" s="21" t="b">
        <f t="array" ref="K187">J187&gt;=($O$1+2*$O$2)</f>
        <v>1</v>
      </c>
      <c r="L187" s="22" t="b">
        <f t="shared" si="11"/>
        <v>0</v>
      </c>
    </row>
    <row r="188" spans="1:12" ht="16.5" thickBot="1" x14ac:dyDescent="0.5">
      <c r="A188" s="4">
        <v>40631</v>
      </c>
      <c r="B188" s="10">
        <v>46.883248000000002</v>
      </c>
      <c r="C188" s="24">
        <v>148.04175699999999</v>
      </c>
      <c r="D188" s="12">
        <v>17.122282999999999</v>
      </c>
      <c r="F188" s="16">
        <f t="shared" si="12"/>
        <v>1.4837295054241804E-3</v>
      </c>
      <c r="G188" s="11">
        <f t="shared" si="13"/>
        <v>1.6399230352928384</v>
      </c>
      <c r="H188" s="11">
        <f t="array" ref="H188">(D188-D187)/D187</f>
        <v>5.5696550146157138E-3</v>
      </c>
      <c r="I188" s="12">
        <f t="shared" si="14"/>
        <v>1.3307866519688236</v>
      </c>
      <c r="J188" s="25">
        <f t="shared" si="10"/>
        <v>0.30913638332401483</v>
      </c>
      <c r="K188" s="21" t="b">
        <f t="array" ref="K188">J188&gt;=($O$1+2*$O$2)</f>
        <v>1</v>
      </c>
      <c r="L188" s="22" t="b">
        <f t="shared" si="11"/>
        <v>0</v>
      </c>
    </row>
    <row r="189" spans="1:12" ht="16.5" thickBot="1" x14ac:dyDescent="0.5">
      <c r="A189" s="4">
        <v>40632</v>
      </c>
      <c r="B189" s="10">
        <v>46.572001999999998</v>
      </c>
      <c r="C189" s="24">
        <v>148.69616600000001</v>
      </c>
      <c r="D189" s="12">
        <v>17.337821000000002</v>
      </c>
      <c r="F189" s="16">
        <f t="shared" si="12"/>
        <v>-6.6387465305305666E-3</v>
      </c>
      <c r="G189" s="11">
        <f t="shared" si="13"/>
        <v>1.629036001931951</v>
      </c>
      <c r="H189" s="11">
        <f t="array" ref="H189">(D189-D188)/D188</f>
        <v>1.258815778246407E-2</v>
      </c>
      <c r="I189" s="12">
        <f t="shared" si="14"/>
        <v>1.3475388043186043</v>
      </c>
      <c r="J189" s="25">
        <f t="shared" si="10"/>
        <v>0.28149719761334668</v>
      </c>
      <c r="K189" s="21" t="b">
        <f t="array" ref="K189">J189&gt;=($O$1+2*$O$2)</f>
        <v>1</v>
      </c>
      <c r="L189" s="22" t="b">
        <f t="shared" si="11"/>
        <v>0</v>
      </c>
    </row>
    <row r="190" spans="1:12" ht="16.5" thickBot="1" x14ac:dyDescent="0.5">
      <c r="A190" s="4">
        <v>40633</v>
      </c>
      <c r="B190" s="10">
        <v>46.555964000000003</v>
      </c>
      <c r="C190" s="24">
        <v>148.21445</v>
      </c>
      <c r="D190" s="12">
        <v>17.286090000000002</v>
      </c>
      <c r="F190" s="16">
        <f t="shared" si="12"/>
        <v>-3.4436999294113808E-4</v>
      </c>
      <c r="G190" s="11">
        <f t="shared" si="13"/>
        <v>1.6284750108154646</v>
      </c>
      <c r="H190" s="11">
        <f t="array" ref="H190">(D190-D189)/D189</f>
        <v>-2.9837082756824047E-3</v>
      </c>
      <c r="I190" s="12">
        <f t="shared" si="14"/>
        <v>1.3435181416363557</v>
      </c>
      <c r="J190" s="25">
        <f t="shared" si="10"/>
        <v>0.2849568691791089</v>
      </c>
      <c r="K190" s="21" t="b">
        <f t="array" ref="K190">J190&gt;=($O$1+2*$O$2)</f>
        <v>1</v>
      </c>
      <c r="L190" s="22" t="b">
        <f t="shared" si="11"/>
        <v>0</v>
      </c>
    </row>
    <row r="191" spans="1:12" ht="16.5" thickBot="1" x14ac:dyDescent="0.5">
      <c r="A191" s="4">
        <v>40634</v>
      </c>
      <c r="B191" s="10">
        <v>46.028305000000003</v>
      </c>
      <c r="C191" s="24">
        <v>149.305128</v>
      </c>
      <c r="D191" s="12">
        <v>17.536114000000001</v>
      </c>
      <c r="F191" s="16">
        <f t="shared" si="12"/>
        <v>-1.1333864765425109E-2</v>
      </c>
      <c r="G191" s="11">
        <f t="shared" si="13"/>
        <v>1.610018095269008</v>
      </c>
      <c r="H191" s="11">
        <f t="array" ref="H191">(D191-D190)/D190</f>
        <v>1.4463883966819552E-2</v>
      </c>
      <c r="I191" s="12">
        <f t="shared" si="14"/>
        <v>1.3629506321443012</v>
      </c>
      <c r="J191" s="25">
        <f t="shared" si="10"/>
        <v>0.24706746312470673</v>
      </c>
      <c r="K191" s="21" t="b">
        <f t="array" ref="K191">J191&gt;=($O$1+2*$O$2)</f>
        <v>1</v>
      </c>
      <c r="L191" s="22" t="b">
        <f t="shared" si="11"/>
        <v>0</v>
      </c>
    </row>
    <row r="192" spans="1:12" ht="16.5" thickBot="1" x14ac:dyDescent="0.5">
      <c r="A192" s="4">
        <v>40637</v>
      </c>
      <c r="B192" s="10">
        <v>45.578119000000001</v>
      </c>
      <c r="C192" s="24">
        <v>149.286946</v>
      </c>
      <c r="D192" s="12">
        <v>17.699922999999998</v>
      </c>
      <c r="F192" s="16">
        <f t="shared" si="12"/>
        <v>-9.780633894730691E-3</v>
      </c>
      <c r="G192" s="11">
        <f t="shared" si="13"/>
        <v>1.5942710977152901</v>
      </c>
      <c r="H192" s="11">
        <f t="array" ref="H192">(D192-D191)/D191</f>
        <v>9.3412371748950174E-3</v>
      </c>
      <c r="I192" s="12">
        <f t="shared" si="14"/>
        <v>1.3756822772568345</v>
      </c>
      <c r="J192" s="25">
        <f t="shared" si="10"/>
        <v>0.21858882045845562</v>
      </c>
      <c r="K192" s="21" t="b">
        <f t="array" ref="K192">J192&gt;=($O$1+2*$O$2)</f>
        <v>0</v>
      </c>
      <c r="L192" s="22" t="b">
        <f t="shared" si="11"/>
        <v>0</v>
      </c>
    </row>
    <row r="193" spans="1:12" ht="16.5" thickBot="1" x14ac:dyDescent="0.5">
      <c r="A193" s="4">
        <v>40638</v>
      </c>
      <c r="B193" s="10">
        <v>45.270876000000001</v>
      </c>
      <c r="C193" s="24">
        <v>149.05063699999999</v>
      </c>
      <c r="D193" s="12">
        <v>17.527493</v>
      </c>
      <c r="F193" s="16">
        <f t="shared" si="12"/>
        <v>-6.7410197423899768E-3</v>
      </c>
      <c r="G193" s="11">
        <f t="shared" si="13"/>
        <v>1.5835240847708696</v>
      </c>
      <c r="H193" s="11">
        <f t="array" ref="H193">(D193-D192)/D192</f>
        <v>-9.7418502894051316E-3</v>
      </c>
      <c r="I193" s="12">
        <f t="shared" si="14"/>
        <v>1.3622805864660106</v>
      </c>
      <c r="J193" s="25">
        <f t="shared" si="10"/>
        <v>0.22124349830485901</v>
      </c>
      <c r="K193" s="21" t="b">
        <f t="array" ref="K193">J193&gt;=($O$1+2*$O$2)</f>
        <v>0</v>
      </c>
      <c r="L193" s="22" t="b">
        <f t="shared" si="11"/>
        <v>0</v>
      </c>
    </row>
    <row r="194" spans="1:12" ht="16.5" thickBot="1" x14ac:dyDescent="0.5">
      <c r="A194" s="4">
        <v>40639</v>
      </c>
      <c r="B194" s="10">
        <v>45.157327000000002</v>
      </c>
      <c r="C194" s="24">
        <v>149.09607099999999</v>
      </c>
      <c r="D194" s="12">
        <v>17.717165000000001</v>
      </c>
      <c r="F194" s="16">
        <f t="shared" si="12"/>
        <v>-2.5082130065254096E-3</v>
      </c>
      <c r="G194" s="11">
        <f t="shared" si="13"/>
        <v>1.5795522690653012</v>
      </c>
      <c r="H194" s="11">
        <f t="array" ref="H194">(D194-D193)/D193</f>
        <v>1.0821399272560064E-2</v>
      </c>
      <c r="I194" s="12">
        <f t="shared" si="14"/>
        <v>1.3770223686134166</v>
      </c>
      <c r="J194" s="25">
        <f t="shared" si="10"/>
        <v>0.20252990045188457</v>
      </c>
      <c r="K194" s="21" t="b">
        <f t="array" ref="K194">J194&gt;=($O$1+2*$O$2)</f>
        <v>0</v>
      </c>
      <c r="L194" s="22" t="b">
        <f t="shared" si="11"/>
        <v>0</v>
      </c>
    </row>
    <row r="195" spans="1:12" ht="16.5" thickBot="1" x14ac:dyDescent="0.5">
      <c r="A195" s="4">
        <v>40640</v>
      </c>
      <c r="B195" s="10">
        <v>45.162663000000002</v>
      </c>
      <c r="C195" s="24">
        <v>149.40510800000001</v>
      </c>
      <c r="D195" s="12">
        <v>17.544736</v>
      </c>
      <c r="F195" s="16">
        <f t="shared" si="12"/>
        <v>1.1816465576006714E-4</v>
      </c>
      <c r="G195" s="11">
        <f t="shared" si="13"/>
        <v>1.5797389163154303</v>
      </c>
      <c r="H195" s="11">
        <f t="array" ref="H195">(D195-D194)/D194</f>
        <v>-9.7323132679523524E-3</v>
      </c>
      <c r="I195" s="12">
        <f t="shared" si="14"/>
        <v>1.3636207555450932</v>
      </c>
      <c r="J195" s="25">
        <f t="shared" ref="J195:J255" si="15">(G195-I195)</f>
        <v>0.21611816077033708</v>
      </c>
      <c r="K195" s="21" t="b">
        <f t="array" ref="K195">J195&gt;=($O$1+2*$O$2)</f>
        <v>0</v>
      </c>
      <c r="L195" s="22" t="b">
        <f t="shared" ref="L195:L255" si="16">J195&lt;=(O194-2*O195)</f>
        <v>0</v>
      </c>
    </row>
    <row r="196" spans="1:12" ht="16.5" thickBot="1" x14ac:dyDescent="0.5">
      <c r="A196" s="4">
        <v>40641</v>
      </c>
      <c r="B196" s="10">
        <v>44.759236000000001</v>
      </c>
      <c r="C196" s="24">
        <v>149.10516899999999</v>
      </c>
      <c r="D196" s="12">
        <v>17.406791999999999</v>
      </c>
      <c r="F196" s="16">
        <f t="shared" ref="F196:F255" si="17">(B196-B195)/B195</f>
        <v>-8.9327549174857256E-3</v>
      </c>
      <c r="G196" s="11">
        <f t="shared" ref="G196:G255" si="18">G195*(1+F196)</f>
        <v>1.5656274957423701</v>
      </c>
      <c r="H196" s="11">
        <f t="array" ref="H196">(D196-D195)/D195</f>
        <v>-7.862415256633155E-3</v>
      </c>
      <c r="I196" s="12">
        <f t="shared" ref="I196:I255" si="19">I195*(1+H196)</f>
        <v>1.3528994029124339</v>
      </c>
      <c r="J196" s="25">
        <f t="shared" si="15"/>
        <v>0.21272809282993621</v>
      </c>
      <c r="K196" s="21" t="b">
        <f t="array" ref="K196">J196&gt;=($O$1+2*$O$2)</f>
        <v>0</v>
      </c>
      <c r="L196" s="22" t="b">
        <f t="shared" si="16"/>
        <v>0</v>
      </c>
    </row>
    <row r="197" spans="1:12" ht="16.5" thickBot="1" x14ac:dyDescent="0.5">
      <c r="A197" s="4">
        <v>40644</v>
      </c>
      <c r="B197" s="10">
        <v>44.190162000000001</v>
      </c>
      <c r="C197" s="24">
        <v>149.014273</v>
      </c>
      <c r="D197" s="12">
        <v>17.398171000000001</v>
      </c>
      <c r="F197" s="16">
        <f t="shared" si="17"/>
        <v>-1.2714113350817706E-2</v>
      </c>
      <c r="G197" s="11">
        <f t="shared" si="18"/>
        <v>1.5457219302963447</v>
      </c>
      <c r="H197" s="11">
        <f t="array" ref="H197">(D197-D196)/D196</f>
        <v>-4.9526644541958052E-4</v>
      </c>
      <c r="I197" s="12">
        <f t="shared" si="19"/>
        <v>1.3522293572341433</v>
      </c>
      <c r="J197" s="25">
        <f t="shared" si="15"/>
        <v>0.19349257306220147</v>
      </c>
      <c r="K197" s="21" t="b">
        <f t="array" ref="K197">J197&gt;=($O$1+2*$O$2)</f>
        <v>0</v>
      </c>
      <c r="L197" s="22" t="b">
        <f t="shared" si="16"/>
        <v>0</v>
      </c>
    </row>
    <row r="198" spans="1:12" ht="16.5" thickBot="1" x14ac:dyDescent="0.5">
      <c r="A198" s="4">
        <v>40645</v>
      </c>
      <c r="B198" s="10">
        <v>44.403897000000001</v>
      </c>
      <c r="C198" s="24">
        <v>148.37804499999999</v>
      </c>
      <c r="D198" s="12">
        <v>17.251605000000001</v>
      </c>
      <c r="F198" s="16">
        <f t="shared" si="17"/>
        <v>4.8367100351431117E-3</v>
      </c>
      <c r="G198" s="11">
        <f t="shared" si="18"/>
        <v>1.55319813906815</v>
      </c>
      <c r="H198" s="11">
        <f t="array" ref="H198">(D198-D197)/D197</f>
        <v>-8.424218844613033E-3</v>
      </c>
      <c r="I198" s="12">
        <f t="shared" si="19"/>
        <v>1.3408378812006925</v>
      </c>
      <c r="J198" s="25">
        <f t="shared" si="15"/>
        <v>0.21236025786745749</v>
      </c>
      <c r="K198" s="21" t="b">
        <f t="array" ref="K198">J198&gt;=($O$1+2*$O$2)</f>
        <v>0</v>
      </c>
      <c r="L198" s="22" t="b">
        <f t="shared" si="16"/>
        <v>0</v>
      </c>
    </row>
    <row r="199" spans="1:12" ht="16.5" thickBot="1" x14ac:dyDescent="0.5">
      <c r="A199" s="4">
        <v>40646</v>
      </c>
      <c r="B199" s="10">
        <v>44.902174000000002</v>
      </c>
      <c r="C199" s="24">
        <v>149.014273</v>
      </c>
      <c r="D199" s="12">
        <v>17.191255000000002</v>
      </c>
      <c r="F199" s="16">
        <f t="shared" si="17"/>
        <v>1.1221470043496445E-2</v>
      </c>
      <c r="G199" s="11">
        <f t="shared" si="18"/>
        <v>1.5706273054573177</v>
      </c>
      <c r="H199" s="11">
        <f t="array" ref="H199">(D199-D198)/D198</f>
        <v>-3.4982252375938168E-3</v>
      </c>
      <c r="I199" s="12">
        <f t="shared" si="19"/>
        <v>1.3361473282851544</v>
      </c>
      <c r="J199" s="25">
        <f t="shared" si="15"/>
        <v>0.23447997717216329</v>
      </c>
      <c r="K199" s="21" t="b">
        <f t="array" ref="K199">J199&gt;=($O$1+2*$O$2)</f>
        <v>0</v>
      </c>
      <c r="L199" s="22" t="b">
        <f t="shared" si="16"/>
        <v>0</v>
      </c>
    </row>
    <row r="200" spans="1:12" ht="16.5" thickBot="1" x14ac:dyDescent="0.5">
      <c r="A200" s="4">
        <v>40647</v>
      </c>
      <c r="B200" s="10">
        <v>44.406571999999997</v>
      </c>
      <c r="C200" s="24">
        <v>149.94135600000001</v>
      </c>
      <c r="D200" s="12">
        <v>17.242984</v>
      </c>
      <c r="F200" s="16">
        <f t="shared" si="17"/>
        <v>-1.1037372043500726E-2</v>
      </c>
      <c r="G200" s="11">
        <f t="shared" si="18"/>
        <v>1.5532917075453041</v>
      </c>
      <c r="H200" s="11">
        <f t="array" ref="H200">(D200-D199)/D199</f>
        <v>3.0090298817624503E-3</v>
      </c>
      <c r="I200" s="12">
        <f t="shared" si="19"/>
        <v>1.3401678355224014</v>
      </c>
      <c r="J200" s="25">
        <f t="shared" si="15"/>
        <v>0.21312387202290273</v>
      </c>
      <c r="K200" s="21" t="b">
        <f t="array" ref="K200">J200&gt;=($O$1+2*$O$2)</f>
        <v>0</v>
      </c>
      <c r="L200" s="22" t="b">
        <f t="shared" si="16"/>
        <v>0</v>
      </c>
    </row>
    <row r="201" spans="1:12" ht="16.5" thickBot="1" x14ac:dyDescent="0.5">
      <c r="A201" s="4">
        <v>40648</v>
      </c>
      <c r="B201" s="10">
        <v>43.743986</v>
      </c>
      <c r="C201" s="24">
        <v>151.068398</v>
      </c>
      <c r="D201" s="12">
        <v>17.277470000000001</v>
      </c>
      <c r="F201" s="16">
        <f t="shared" si="17"/>
        <v>-1.4920899546130188E-2</v>
      </c>
      <c r="G201" s="11">
        <f t="shared" si="18"/>
        <v>1.5301151980111836</v>
      </c>
      <c r="H201" s="11">
        <f t="array" ref="H201">(D201-D200)/D200</f>
        <v>2.0000018558273399E-3</v>
      </c>
      <c r="I201" s="12">
        <f t="shared" si="19"/>
        <v>1.3428481736805662</v>
      </c>
      <c r="J201" s="25">
        <f t="shared" si="15"/>
        <v>0.18726702433061737</v>
      </c>
      <c r="K201" s="21" t="b">
        <f t="array" ref="K201">J201&gt;=($O$1+2*$O$2)</f>
        <v>0</v>
      </c>
      <c r="L201" s="22" t="b">
        <f t="shared" si="16"/>
        <v>0</v>
      </c>
    </row>
    <row r="202" spans="1:12" ht="16.5" thickBot="1" x14ac:dyDescent="0.5">
      <c r="A202" s="4">
        <v>40651</v>
      </c>
      <c r="B202" s="10">
        <v>44.330424999999998</v>
      </c>
      <c r="C202" s="24">
        <v>150.822991</v>
      </c>
      <c r="D202" s="12">
        <v>17.225739999999998</v>
      </c>
      <c r="F202" s="16">
        <f t="shared" si="17"/>
        <v>1.3406162849448575E-2</v>
      </c>
      <c r="G202" s="11">
        <f t="shared" si="18"/>
        <v>1.5506281715341379</v>
      </c>
      <c r="H202" s="11">
        <f t="array" ref="H202">(D202-D201)/D201</f>
        <v>-2.9940726275318502E-3</v>
      </c>
      <c r="I202" s="12">
        <f t="shared" si="19"/>
        <v>1.3388275887208181</v>
      </c>
      <c r="J202" s="25">
        <f t="shared" si="15"/>
        <v>0.21180058281331982</v>
      </c>
      <c r="K202" s="21" t="b">
        <f t="array" ref="K202">J202&gt;=($O$1+2*$O$2)</f>
        <v>0</v>
      </c>
      <c r="L202" s="22" t="b">
        <f t="shared" si="16"/>
        <v>0</v>
      </c>
    </row>
    <row r="203" spans="1:12" ht="16.5" thickBot="1" x14ac:dyDescent="0.5">
      <c r="A203" s="4">
        <v>40652</v>
      </c>
      <c r="B203" s="10">
        <v>45.133274</v>
      </c>
      <c r="C203" s="24">
        <v>150.332176</v>
      </c>
      <c r="D203" s="12">
        <v>17.475764000000002</v>
      </c>
      <c r="F203" s="16">
        <f t="shared" si="17"/>
        <v>1.8110564020083316E-2</v>
      </c>
      <c r="G203" s="11">
        <f t="shared" si="18"/>
        <v>1.5787109223060518</v>
      </c>
      <c r="H203" s="11">
        <f t="array" ref="H203">(D203-D202)/D202</f>
        <v>1.4514557865148514E-2</v>
      </c>
      <c r="I203" s="12">
        <f t="shared" si="19"/>
        <v>1.3582600792287636</v>
      </c>
      <c r="J203" s="25">
        <f t="shared" si="15"/>
        <v>0.22045084307728824</v>
      </c>
      <c r="K203" s="21" t="b">
        <f t="array" ref="K203">J203&gt;=($O$1+2*$O$2)</f>
        <v>0</v>
      </c>
      <c r="L203" s="22" t="b">
        <f t="shared" si="16"/>
        <v>0</v>
      </c>
    </row>
    <row r="204" spans="1:12" ht="16.5" thickBot="1" x14ac:dyDescent="0.5">
      <c r="A204" s="4">
        <v>40653</v>
      </c>
      <c r="B204" s="10">
        <v>45.741090999999997</v>
      </c>
      <c r="C204" s="24">
        <v>149.74139700000001</v>
      </c>
      <c r="D204" s="12">
        <v>17.587842999999999</v>
      </c>
      <c r="F204" s="16">
        <f t="shared" si="17"/>
        <v>1.3467159506310071E-2</v>
      </c>
      <c r="G204" s="11">
        <f t="shared" si="18"/>
        <v>1.5999716741111012</v>
      </c>
      <c r="H204" s="11">
        <f t="array" ref="H204">(D204-D203)/D203</f>
        <v>6.4133962898559292E-3</v>
      </c>
      <c r="I204" s="12">
        <f t="shared" si="19"/>
        <v>1.3669711393815487</v>
      </c>
      <c r="J204" s="25">
        <f t="shared" si="15"/>
        <v>0.23300053472955251</v>
      </c>
      <c r="K204" s="21" t="b">
        <f t="array" ref="K204">J204&gt;=($O$1+2*$O$2)</f>
        <v>0</v>
      </c>
      <c r="L204" s="22" t="b">
        <f t="shared" si="16"/>
        <v>0</v>
      </c>
    </row>
    <row r="205" spans="1:12" ht="16.5" thickBot="1" x14ac:dyDescent="0.5">
      <c r="A205" s="4">
        <v>40654</v>
      </c>
      <c r="B205" s="10">
        <v>46.848517999999999</v>
      </c>
      <c r="C205" s="24">
        <v>152.949815</v>
      </c>
      <c r="D205" s="12">
        <v>17.199877000000001</v>
      </c>
      <c r="F205" s="16">
        <f t="shared" si="17"/>
        <v>2.4210769262149899E-2</v>
      </c>
      <c r="G205" s="11">
        <f t="shared" si="18"/>
        <v>1.6387082191389806</v>
      </c>
      <c r="H205" s="11">
        <f t="array" ref="H205">(D205-D204)/D204</f>
        <v>-2.2058759564774301E-2</v>
      </c>
      <c r="I205" s="12">
        <f t="shared" si="19"/>
        <v>1.3368174516859455</v>
      </c>
      <c r="J205" s="25">
        <f t="shared" si="15"/>
        <v>0.30189076745303511</v>
      </c>
      <c r="K205" s="21" t="b">
        <f t="array" ref="K205">J205&gt;=($O$1+2*$O$2)</f>
        <v>1</v>
      </c>
      <c r="L205" s="22" t="b">
        <f t="shared" si="16"/>
        <v>0</v>
      </c>
    </row>
    <row r="206" spans="1:12" ht="16.5" thickBot="1" x14ac:dyDescent="0.5">
      <c r="A206" s="4">
        <v>40658</v>
      </c>
      <c r="B206" s="10">
        <v>47.157102999999999</v>
      </c>
      <c r="C206" s="24">
        <v>152.395385</v>
      </c>
      <c r="D206" s="12">
        <v>17.148147000000002</v>
      </c>
      <c r="F206" s="16">
        <f t="shared" si="17"/>
        <v>6.5868679133030588E-3</v>
      </c>
      <c r="G206" s="11">
        <f t="shared" si="18"/>
        <v>1.6495021737268929</v>
      </c>
      <c r="H206" s="11">
        <f t="array" ref="H206">(D206-D205)/D205</f>
        <v>-3.0075796472264983E-3</v>
      </c>
      <c r="I206" s="12">
        <f t="shared" si="19"/>
        <v>1.3327968667261976</v>
      </c>
      <c r="J206" s="25">
        <f t="shared" si="15"/>
        <v>0.31670530700069532</v>
      </c>
      <c r="K206" s="21" t="b">
        <f t="array" ref="K206">J206&gt;=($O$1+2*$O$2)</f>
        <v>1</v>
      </c>
      <c r="L206" s="22" t="b">
        <f t="shared" si="16"/>
        <v>0</v>
      </c>
    </row>
    <row r="207" spans="1:12" ht="16.5" thickBot="1" x14ac:dyDescent="0.5">
      <c r="A207" s="4">
        <v>40659</v>
      </c>
      <c r="B207" s="10">
        <v>46.811117000000003</v>
      </c>
      <c r="C207" s="24">
        <v>153.14069000000001</v>
      </c>
      <c r="D207" s="12">
        <v>17.329198999999999</v>
      </c>
      <c r="F207" s="16">
        <f t="shared" si="17"/>
        <v>-7.3368798757632832E-3</v>
      </c>
      <c r="G207" s="11">
        <f t="shared" si="18"/>
        <v>1.6373999744234482</v>
      </c>
      <c r="H207" s="11">
        <f t="array" ref="H207">(D207-D206)/D206</f>
        <v>1.0558108698274952E-2</v>
      </c>
      <c r="I207" s="12">
        <f t="shared" si="19"/>
        <v>1.346868680917813</v>
      </c>
      <c r="J207" s="25">
        <f t="shared" si="15"/>
        <v>0.29053129350563522</v>
      </c>
      <c r="K207" s="21" t="b">
        <f t="array" ref="K207">J207&gt;=($O$1+2*$O$2)</f>
        <v>1</v>
      </c>
      <c r="L207" s="22" t="b">
        <f t="shared" si="16"/>
        <v>0</v>
      </c>
    </row>
    <row r="208" spans="1:12" ht="16.5" thickBot="1" x14ac:dyDescent="0.5">
      <c r="A208" s="4">
        <v>40660</v>
      </c>
      <c r="B208" s="10">
        <v>46.77505</v>
      </c>
      <c r="C208" s="24">
        <v>154.849414</v>
      </c>
      <c r="D208" s="12">
        <v>17.803380000000001</v>
      </c>
      <c r="F208" s="16">
        <f t="shared" si="17"/>
        <v>-7.7047937138527867E-4</v>
      </c>
      <c r="G208" s="11">
        <f t="shared" si="18"/>
        <v>1.6361383915204482</v>
      </c>
      <c r="H208" s="11">
        <f t="array" ref="H208">(D208-D207)/D207</f>
        <v>2.7363122784844329E-2</v>
      </c>
      <c r="I208" s="12">
        <f t="shared" si="19"/>
        <v>1.3837232140088285</v>
      </c>
      <c r="J208" s="25">
        <f t="shared" si="15"/>
        <v>0.25241517751161968</v>
      </c>
      <c r="K208" s="21" t="b">
        <f t="array" ref="K208">J208&gt;=($O$1+2*$O$2)</f>
        <v>1</v>
      </c>
      <c r="L208" s="22" t="b">
        <f t="shared" si="16"/>
        <v>0</v>
      </c>
    </row>
    <row r="209" spans="1:12" ht="16.5" thickBot="1" x14ac:dyDescent="0.5">
      <c r="A209" s="4">
        <v>40661</v>
      </c>
      <c r="B209" s="10">
        <v>46.320852000000002</v>
      </c>
      <c r="C209" s="24">
        <v>155.22206700000001</v>
      </c>
      <c r="D209" s="12">
        <v>17.760273000000002</v>
      </c>
      <c r="F209" s="16">
        <f t="shared" si="17"/>
        <v>-9.7102622017506794E-3</v>
      </c>
      <c r="G209" s="11">
        <f t="shared" si="18"/>
        <v>1.620251058740434</v>
      </c>
      <c r="H209" s="11">
        <f t="array" ref="H209">(D209-D208)/D208</f>
        <v>-2.4212818015454996E-3</v>
      </c>
      <c r="I209" s="12">
        <f t="shared" si="19"/>
        <v>1.3803728301723728</v>
      </c>
      <c r="J209" s="25">
        <f t="shared" si="15"/>
        <v>0.23987822856806118</v>
      </c>
      <c r="K209" s="21" t="b">
        <f t="array" ref="K209">J209&gt;=($O$1+2*$O$2)</f>
        <v>1</v>
      </c>
      <c r="L209" s="22" t="b">
        <f t="shared" si="16"/>
        <v>0</v>
      </c>
    </row>
    <row r="210" spans="1:12" ht="16.5" thickBot="1" x14ac:dyDescent="0.5">
      <c r="A210" s="4">
        <v>40662</v>
      </c>
      <c r="B210" s="10">
        <v>46.772374999999997</v>
      </c>
      <c r="C210" s="24">
        <v>155.04029</v>
      </c>
      <c r="D210" s="12">
        <v>17.630951</v>
      </c>
      <c r="F210" s="16">
        <f t="shared" si="17"/>
        <v>9.7477265746319722E-3</v>
      </c>
      <c r="G210" s="11">
        <f t="shared" si="18"/>
        <v>1.6360448230432936</v>
      </c>
      <c r="H210" s="11">
        <f t="array" ref="H210">(D210-D209)/D209</f>
        <v>-7.2815322151862146E-3</v>
      </c>
      <c r="I210" s="12">
        <f t="shared" si="19"/>
        <v>1.3703216009405048</v>
      </c>
      <c r="J210" s="25">
        <f t="shared" si="15"/>
        <v>0.26572322210278876</v>
      </c>
      <c r="K210" s="21" t="b">
        <f t="array" ref="K210">J210&gt;=($O$1+2*$O$2)</f>
        <v>1</v>
      </c>
      <c r="L210" s="22" t="b">
        <f t="shared" si="16"/>
        <v>0</v>
      </c>
    </row>
    <row r="211" spans="1:12" ht="16.5" thickBot="1" x14ac:dyDescent="0.5">
      <c r="A211" s="4">
        <v>40665</v>
      </c>
      <c r="B211" s="10">
        <v>46.258069999999996</v>
      </c>
      <c r="C211" s="24">
        <v>156.46725599999999</v>
      </c>
      <c r="D211" s="12">
        <v>17.656815000000002</v>
      </c>
      <c r="F211" s="16">
        <f t="shared" si="17"/>
        <v>-1.099591372043862E-2</v>
      </c>
      <c r="G211" s="11">
        <f t="shared" si="18"/>
        <v>1.6180550153263393</v>
      </c>
      <c r="H211" s="11">
        <f t="array" ref="H211">(D211-D210)/D210</f>
        <v>1.4669656787091125E-3</v>
      </c>
      <c r="I211" s="12">
        <f t="shared" si="19"/>
        <v>1.3723318156978783</v>
      </c>
      <c r="J211" s="25">
        <f t="shared" si="15"/>
        <v>0.24572319962846101</v>
      </c>
      <c r="K211" s="21" t="b">
        <f t="array" ref="K211">J211&gt;=($O$1+2*$O$2)</f>
        <v>1</v>
      </c>
      <c r="L211" s="22" t="b">
        <f t="shared" si="16"/>
        <v>0</v>
      </c>
    </row>
    <row r="212" spans="1:12" ht="16.5" thickBot="1" x14ac:dyDescent="0.5">
      <c r="A212" s="4">
        <v>40666</v>
      </c>
      <c r="B212" s="10">
        <v>46.514557000000003</v>
      </c>
      <c r="C212" s="24">
        <v>157.121666</v>
      </c>
      <c r="D212" s="12">
        <v>17.794758999999999</v>
      </c>
      <c r="F212" s="16">
        <f t="shared" si="17"/>
        <v>5.5446973900987878E-3</v>
      </c>
      <c r="G212" s="11">
        <f t="shared" si="18"/>
        <v>1.6270266407468554</v>
      </c>
      <c r="H212" s="11">
        <f t="array" ref="H212">(D212-D211)/D211</f>
        <v>7.8125075218830452E-3</v>
      </c>
      <c r="I212" s="12">
        <f t="shared" si="19"/>
        <v>1.3830531683305376</v>
      </c>
      <c r="J212" s="25">
        <f t="shared" si="15"/>
        <v>0.24397347241631784</v>
      </c>
      <c r="K212" s="21" t="b">
        <f t="array" ref="K212">J212&gt;=($O$1+2*$O$2)</f>
        <v>1</v>
      </c>
      <c r="L212" s="22" t="b">
        <f t="shared" si="16"/>
        <v>0</v>
      </c>
    </row>
    <row r="213" spans="1:12" ht="16.5" thickBot="1" x14ac:dyDescent="0.5">
      <c r="A213" s="4">
        <v>40667</v>
      </c>
      <c r="B213" s="10">
        <v>46.697564999999997</v>
      </c>
      <c r="C213" s="24">
        <v>155.076639</v>
      </c>
      <c r="D213" s="12">
        <v>17.475764000000002</v>
      </c>
      <c r="F213" s="16">
        <f t="shared" si="17"/>
        <v>3.934424227666918E-3</v>
      </c>
      <c r="G213" s="11">
        <f t="shared" si="18"/>
        <v>1.6334280537812693</v>
      </c>
      <c r="H213" s="11">
        <f t="array" ref="H213">(D213-D212)/D212</f>
        <v>-1.7926345616706443E-2</v>
      </c>
      <c r="I213" s="12">
        <f t="shared" si="19"/>
        <v>1.3582600792287636</v>
      </c>
      <c r="J213" s="25">
        <f t="shared" si="15"/>
        <v>0.27516797455250575</v>
      </c>
      <c r="K213" s="21" t="b">
        <f t="array" ref="K213">J213&gt;=($O$1+2*$O$2)</f>
        <v>1</v>
      </c>
      <c r="L213" s="22" t="b">
        <f t="shared" si="16"/>
        <v>0</v>
      </c>
    </row>
    <row r="214" spans="1:12" ht="16.5" thickBot="1" x14ac:dyDescent="0.5">
      <c r="A214" s="4">
        <v>40668</v>
      </c>
      <c r="B214" s="10">
        <v>46.320852000000002</v>
      </c>
      <c r="C214" s="24">
        <v>153.11342400000001</v>
      </c>
      <c r="D214" s="12">
        <v>17.156768</v>
      </c>
      <c r="F214" s="16">
        <f t="shared" si="17"/>
        <v>-8.0670801571772581E-3</v>
      </c>
      <c r="G214" s="11">
        <f t="shared" si="18"/>
        <v>1.6202510587404337</v>
      </c>
      <c r="H214" s="11">
        <f t="array" ref="H214">(D214-D213)/D213</f>
        <v>-1.8253622559792064E-2</v>
      </c>
      <c r="I214" s="12">
        <f t="shared" si="19"/>
        <v>1.3334669124044884</v>
      </c>
      <c r="J214" s="25">
        <f t="shared" si="15"/>
        <v>0.28678414633594529</v>
      </c>
      <c r="K214" s="21" t="b">
        <f t="array" ref="K214">J214&gt;=($O$1+2*$O$2)</f>
        <v>1</v>
      </c>
      <c r="L214" s="22" t="b">
        <f t="shared" si="16"/>
        <v>0</v>
      </c>
    </row>
    <row r="215" spans="1:12" ht="16.5" thickBot="1" x14ac:dyDescent="0.5">
      <c r="A215" s="4">
        <v>40669</v>
      </c>
      <c r="B215" s="10">
        <v>46.308838000000002</v>
      </c>
      <c r="C215" s="24">
        <v>154.190719</v>
      </c>
      <c r="D215" s="12">
        <v>17.251605000000001</v>
      </c>
      <c r="F215" s="16">
        <f t="shared" si="17"/>
        <v>-2.5936483206311995E-4</v>
      </c>
      <c r="G215" s="11">
        <f t="shared" si="18"/>
        <v>1.6198308225966833</v>
      </c>
      <c r="H215" s="11">
        <f t="array" ref="H215">(D215-D214)/D214</f>
        <v>5.5276728111029912E-3</v>
      </c>
      <c r="I215" s="12">
        <f t="shared" si="19"/>
        <v>1.340837881200692</v>
      </c>
      <c r="J215" s="25">
        <f t="shared" si="15"/>
        <v>0.27899294139599129</v>
      </c>
      <c r="K215" s="21" t="b">
        <f t="array" ref="K215">J215&gt;=($O$1+2*$O$2)</f>
        <v>1</v>
      </c>
      <c r="L215" s="22" t="b">
        <f t="shared" si="16"/>
        <v>0</v>
      </c>
    </row>
    <row r="216" spans="1:12" ht="16.5" thickBot="1" x14ac:dyDescent="0.5">
      <c r="A216" s="4">
        <v>40672</v>
      </c>
      <c r="B216" s="10">
        <v>46.434399999999997</v>
      </c>
      <c r="C216" s="24">
        <v>154.38244700000001</v>
      </c>
      <c r="D216" s="12">
        <v>17.303334</v>
      </c>
      <c r="F216" s="16">
        <f t="shared" si="17"/>
        <v>2.7114046783034171E-3</v>
      </c>
      <c r="G216" s="11">
        <f t="shared" si="18"/>
        <v>1.6242228394671321</v>
      </c>
      <c r="H216" s="11">
        <f t="array" ref="H216">(D216-D215)/D215</f>
        <v>2.9985036174893951E-3</v>
      </c>
      <c r="I216" s="12">
        <f t="shared" si="19"/>
        <v>1.344858388437939</v>
      </c>
      <c r="J216" s="25">
        <f t="shared" si="15"/>
        <v>0.27936445102919305</v>
      </c>
      <c r="K216" s="21" t="b">
        <f t="array" ref="K216">J216&gt;=($O$1+2*$O$2)</f>
        <v>1</v>
      </c>
      <c r="L216" s="22" t="b">
        <f t="shared" si="16"/>
        <v>0</v>
      </c>
    </row>
    <row r="217" spans="1:12" ht="16.5" thickBot="1" x14ac:dyDescent="0.5">
      <c r="A217" s="4">
        <v>40673</v>
      </c>
      <c r="B217" s="10">
        <v>46.681538000000003</v>
      </c>
      <c r="C217" s="24">
        <v>155.551042</v>
      </c>
      <c r="D217" s="12">
        <v>17.501628</v>
      </c>
      <c r="F217" s="16">
        <f t="shared" si="17"/>
        <v>5.322304153817143E-3</v>
      </c>
      <c r="G217" s="11">
        <f t="shared" si="18"/>
        <v>1.6328674474323526</v>
      </c>
      <c r="H217" s="11">
        <f t="array" ref="H217">(D217-D216)/D216</f>
        <v>1.1459872415339184E-2</v>
      </c>
      <c r="I217" s="12">
        <f t="shared" si="19"/>
        <v>1.3602702939861364</v>
      </c>
      <c r="J217" s="25">
        <f t="shared" si="15"/>
        <v>0.27259715344621616</v>
      </c>
      <c r="K217" s="21" t="b">
        <f t="array" ref="K217">J217&gt;=($O$1+2*$O$2)</f>
        <v>1</v>
      </c>
      <c r="L217" s="22" t="b">
        <f t="shared" si="16"/>
        <v>0</v>
      </c>
    </row>
    <row r="218" spans="1:12" ht="16.5" thickBot="1" x14ac:dyDescent="0.5">
      <c r="A218" s="4">
        <v>40674</v>
      </c>
      <c r="B218" s="10">
        <v>46.384981000000003</v>
      </c>
      <c r="C218" s="24">
        <v>154.74762799999999</v>
      </c>
      <c r="D218" s="12">
        <v>17.320577</v>
      </c>
      <c r="F218" s="16">
        <f t="shared" si="17"/>
        <v>-6.3527684113578254E-3</v>
      </c>
      <c r="G218" s="11">
        <f t="shared" si="18"/>
        <v>1.6224942186923699</v>
      </c>
      <c r="H218" s="11">
        <f t="array" ref="H218">(D218-D217)/D217</f>
        <v>-1.0344809065762343E-2</v>
      </c>
      <c r="I218" s="12">
        <f t="shared" si="19"/>
        <v>1.3461985575170214</v>
      </c>
      <c r="J218" s="25">
        <f t="shared" si="15"/>
        <v>0.27629566117534843</v>
      </c>
      <c r="K218" s="21" t="b">
        <f t="array" ref="K218">J218&gt;=($O$1+2*$O$2)</f>
        <v>1</v>
      </c>
      <c r="L218" s="22" t="b">
        <f t="shared" si="16"/>
        <v>0</v>
      </c>
    </row>
    <row r="219" spans="1:12" ht="16.5" thickBot="1" x14ac:dyDescent="0.5">
      <c r="A219" s="4">
        <v>40675</v>
      </c>
      <c r="B219" s="10">
        <v>46.296809000000003</v>
      </c>
      <c r="C219" s="24">
        <v>157.24915799999999</v>
      </c>
      <c r="D219" s="12">
        <v>17.363683999999999</v>
      </c>
      <c r="F219" s="16">
        <f t="shared" si="17"/>
        <v>-1.9008739057153033E-3</v>
      </c>
      <c r="G219" s="11">
        <f t="shared" si="18"/>
        <v>1.6194100617698837</v>
      </c>
      <c r="H219" s="11">
        <f t="array" ref="H219">(D219-D218)/D218</f>
        <v>2.4887739017007988E-3</v>
      </c>
      <c r="I219" s="12">
        <f t="shared" si="19"/>
        <v>1.3495489413534771</v>
      </c>
      <c r="J219" s="25">
        <f t="shared" si="15"/>
        <v>0.26986112041640653</v>
      </c>
      <c r="K219" s="21" t="b">
        <f t="array" ref="K219">J219&gt;=($O$1+2*$O$2)</f>
        <v>1</v>
      </c>
      <c r="L219" s="22" t="b">
        <f t="shared" si="16"/>
        <v>0</v>
      </c>
    </row>
    <row r="220" spans="1:12" ht="16.5" thickBot="1" x14ac:dyDescent="0.5">
      <c r="A220" s="4">
        <v>40676</v>
      </c>
      <c r="B220" s="10">
        <v>45.485948</v>
      </c>
      <c r="C220" s="24">
        <v>155.13107199999999</v>
      </c>
      <c r="D220" s="12">
        <v>17.148147000000002</v>
      </c>
      <c r="F220" s="16">
        <f t="shared" si="17"/>
        <v>-1.7514403638488402E-2</v>
      </c>
      <c r="G220" s="11">
        <f t="shared" si="18"/>
        <v>1.5910470602918165</v>
      </c>
      <c r="H220" s="11">
        <f t="array" ref="H220">(D220-D219)/D219</f>
        <v>-1.2413091599685738E-2</v>
      </c>
      <c r="I220" s="12">
        <f t="shared" si="19"/>
        <v>1.3327968667261976</v>
      </c>
      <c r="J220" s="25">
        <f t="shared" si="15"/>
        <v>0.25825019356561896</v>
      </c>
      <c r="K220" s="21" t="b">
        <f t="array" ref="K220">J220&gt;=($O$1+2*$O$2)</f>
        <v>1</v>
      </c>
      <c r="L220" s="22" t="b">
        <f t="shared" si="16"/>
        <v>0</v>
      </c>
    </row>
    <row r="221" spans="1:12" ht="16.5" thickBot="1" x14ac:dyDescent="0.5">
      <c r="A221" s="4">
        <v>40679</v>
      </c>
      <c r="B221" s="10">
        <v>44.52413</v>
      </c>
      <c r="C221" s="24">
        <v>154.163331</v>
      </c>
      <c r="D221" s="12">
        <v>17.036068</v>
      </c>
      <c r="F221" s="16">
        <f t="shared" si="17"/>
        <v>-2.1145387582116589E-2</v>
      </c>
      <c r="G221" s="11">
        <f t="shared" si="18"/>
        <v>1.5574037535405589</v>
      </c>
      <c r="H221" s="11">
        <f t="array" ref="H221">(D221-D220)/D220</f>
        <v>-6.5359248436581141E-3</v>
      </c>
      <c r="I221" s="12">
        <f t="shared" si="19"/>
        <v>1.3240858065734122</v>
      </c>
      <c r="J221" s="25">
        <f t="shared" si="15"/>
        <v>0.23331794696714669</v>
      </c>
      <c r="K221" s="21" t="b">
        <f t="array" ref="K221">J221&gt;=($O$1+2*$O$2)</f>
        <v>0</v>
      </c>
      <c r="L221" s="22" t="b">
        <f t="shared" si="16"/>
        <v>0</v>
      </c>
    </row>
    <row r="222" spans="1:12" ht="16.5" thickBot="1" x14ac:dyDescent="0.5">
      <c r="A222" s="4">
        <v>40680</v>
      </c>
      <c r="B222" s="10">
        <v>44.903511999999999</v>
      </c>
      <c r="C222" s="24">
        <v>155.66059300000001</v>
      </c>
      <c r="D222" s="12">
        <v>16.889503000000001</v>
      </c>
      <c r="F222" s="16">
        <f t="shared" si="17"/>
        <v>8.5208178127231162E-3</v>
      </c>
      <c r="G222" s="11">
        <f t="shared" si="18"/>
        <v>1.5706741071853292</v>
      </c>
      <c r="H222" s="11">
        <f t="array" ref="H222">(D222-D221)/D221</f>
        <v>-8.603217596924298E-3</v>
      </c>
      <c r="I222" s="12">
        <f t="shared" si="19"/>
        <v>1.3126944082624621</v>
      </c>
      <c r="J222" s="25">
        <f t="shared" si="15"/>
        <v>0.2579796989228671</v>
      </c>
      <c r="K222" s="21" t="b">
        <f t="array" ref="K222">J222&gt;=($O$1+2*$O$2)</f>
        <v>1</v>
      </c>
      <c r="L222" s="22" t="b">
        <f t="shared" si="16"/>
        <v>0</v>
      </c>
    </row>
    <row r="223" spans="1:12" ht="16.5" thickBot="1" x14ac:dyDescent="0.5">
      <c r="A223" s="4">
        <v>40681</v>
      </c>
      <c r="B223" s="10">
        <v>45.401789000000001</v>
      </c>
      <c r="C223" s="24">
        <v>155.605818</v>
      </c>
      <c r="D223" s="12">
        <v>17.036068</v>
      </c>
      <c r="F223" s="16">
        <f t="shared" si="17"/>
        <v>1.1096615338239059E-2</v>
      </c>
      <c r="G223" s="11">
        <f t="shared" si="18"/>
        <v>1.5881032735744969</v>
      </c>
      <c r="H223" s="11">
        <f t="array" ref="H223">(D223-D222)/D222</f>
        <v>8.6778752459441191E-3</v>
      </c>
      <c r="I223" s="12">
        <f t="shared" si="19"/>
        <v>1.3240858065734122</v>
      </c>
      <c r="J223" s="25">
        <f t="shared" si="15"/>
        <v>0.26401746700108464</v>
      </c>
      <c r="K223" s="21" t="b">
        <f t="array" ref="K223">J223&gt;=($O$1+2*$O$2)</f>
        <v>1</v>
      </c>
      <c r="L223" s="22" t="b">
        <f t="shared" si="16"/>
        <v>0</v>
      </c>
    </row>
    <row r="224" spans="1:12" ht="16.5" thickBot="1" x14ac:dyDescent="0.5">
      <c r="A224" s="4">
        <v>40682</v>
      </c>
      <c r="B224" s="10">
        <v>45.489950999999998</v>
      </c>
      <c r="C224" s="24">
        <v>155.74275700000001</v>
      </c>
      <c r="D224" s="12">
        <v>17.208497000000001</v>
      </c>
      <c r="F224" s="16">
        <f t="shared" si="17"/>
        <v>1.9418177552430139E-3</v>
      </c>
      <c r="G224" s="11">
        <f t="shared" si="18"/>
        <v>1.5911870807082835</v>
      </c>
      <c r="H224" s="11">
        <f t="array" ref="H224">(D224-D223)/D223</f>
        <v>1.0121408296797186E-2</v>
      </c>
      <c r="I224" s="12">
        <f t="shared" si="19"/>
        <v>1.3374874196417357</v>
      </c>
      <c r="J224" s="25">
        <f t="shared" si="15"/>
        <v>0.25369966106654784</v>
      </c>
      <c r="K224" s="21" t="b">
        <f t="array" ref="K224">J224&gt;=($O$1+2*$O$2)</f>
        <v>1</v>
      </c>
      <c r="L224" s="22" t="b">
        <f t="shared" si="16"/>
        <v>0</v>
      </c>
    </row>
    <row r="225" spans="1:12" ht="16.5" thickBot="1" x14ac:dyDescent="0.5">
      <c r="A225" s="4">
        <v>40683</v>
      </c>
      <c r="B225" s="10">
        <v>44.780610000000003</v>
      </c>
      <c r="C225" s="24">
        <v>155.350189</v>
      </c>
      <c r="D225" s="12">
        <v>16.915368000000001</v>
      </c>
      <c r="F225" s="16">
        <f t="shared" si="17"/>
        <v>-1.5593355991963915E-2</v>
      </c>
      <c r="G225" s="11">
        <f t="shared" si="18"/>
        <v>1.5663751341089855</v>
      </c>
      <c r="H225" s="11">
        <f t="array" ref="H225">(D225-D224)/D224</f>
        <v>-1.7033968742302154E-2</v>
      </c>
      <c r="I225" s="12">
        <f t="shared" si="19"/>
        <v>1.314704700742336</v>
      </c>
      <c r="J225" s="25">
        <f t="shared" si="15"/>
        <v>0.25167043336664952</v>
      </c>
      <c r="K225" s="21" t="b">
        <f t="array" ref="K225">J225&gt;=($O$1+2*$O$2)</f>
        <v>1</v>
      </c>
      <c r="L225" s="22" t="b">
        <f t="shared" si="16"/>
        <v>0</v>
      </c>
    </row>
    <row r="226" spans="1:12" ht="16.5" thickBot="1" x14ac:dyDescent="0.5">
      <c r="A226" s="4">
        <v>40686</v>
      </c>
      <c r="B226" s="10">
        <v>44.671075000000002</v>
      </c>
      <c r="C226" s="24">
        <v>153.61554599999999</v>
      </c>
      <c r="D226" s="12">
        <v>16.717072000000002</v>
      </c>
      <c r="F226" s="16">
        <f t="shared" si="17"/>
        <v>-2.4460363536807791E-3</v>
      </c>
      <c r="G226" s="11">
        <f t="shared" si="18"/>
        <v>1.5625437235874533</v>
      </c>
      <c r="H226" s="11">
        <f t="array" ref="H226">(D226-D225)/D225</f>
        <v>-1.1722830978315052E-2</v>
      </c>
      <c r="I226" s="12">
        <f t="shared" si="19"/>
        <v>1.2992926397491373</v>
      </c>
      <c r="J226" s="25">
        <f t="shared" si="15"/>
        <v>0.26325108383831597</v>
      </c>
      <c r="K226" s="21" t="b">
        <f t="array" ref="K226">J226&gt;=($O$1+2*$O$2)</f>
        <v>1</v>
      </c>
      <c r="L226" s="22" t="b">
        <f t="shared" si="16"/>
        <v>0</v>
      </c>
    </row>
    <row r="227" spans="1:12" ht="16.5" thickBot="1" x14ac:dyDescent="0.5">
      <c r="A227" s="4">
        <v>40687</v>
      </c>
      <c r="B227" s="10">
        <v>44.375844999999998</v>
      </c>
      <c r="C227" s="24">
        <v>153.369055</v>
      </c>
      <c r="D227" s="12">
        <v>16.46705</v>
      </c>
      <c r="F227" s="16">
        <f t="shared" si="17"/>
        <v>-6.6089745993353341E-3</v>
      </c>
      <c r="G227" s="11">
        <f t="shared" si="18"/>
        <v>1.552216911807913</v>
      </c>
      <c r="H227" s="11">
        <f t="array" ref="H227">(D227-D226)/D226</f>
        <v>-1.4956088003928036E-2</v>
      </c>
      <c r="I227" s="12">
        <f t="shared" si="19"/>
        <v>1.2798603046861934</v>
      </c>
      <c r="J227" s="25">
        <f t="shared" si="15"/>
        <v>0.27235660712171961</v>
      </c>
      <c r="K227" s="21" t="b">
        <f t="array" ref="K227">J227&gt;=($O$1+2*$O$2)</f>
        <v>1</v>
      </c>
      <c r="L227" s="22" t="b">
        <f t="shared" si="16"/>
        <v>0</v>
      </c>
    </row>
    <row r="228" spans="1:12" ht="16.5" thickBot="1" x14ac:dyDescent="0.5">
      <c r="A228" s="4">
        <v>40688</v>
      </c>
      <c r="B228" s="10">
        <v>44.989009000000003</v>
      </c>
      <c r="C228" s="24">
        <v>153.14993899999999</v>
      </c>
      <c r="D228" s="12">
        <v>16.570506999999999</v>
      </c>
      <c r="F228" s="16">
        <f t="shared" si="17"/>
        <v>1.3817517165025359E-2</v>
      </c>
      <c r="G228" s="11">
        <f t="shared" si="18"/>
        <v>1.5736646956306617</v>
      </c>
      <c r="H228" s="11">
        <f t="array" ref="H228">(D228-D227)/D227</f>
        <v>6.2826675087522535E-3</v>
      </c>
      <c r="I228" s="12">
        <f t="shared" si="19"/>
        <v>1.287901241438187</v>
      </c>
      <c r="J228" s="25">
        <f t="shared" si="15"/>
        <v>0.28576345419247473</v>
      </c>
      <c r="K228" s="21" t="b">
        <f t="array" ref="K228">J228&gt;=($O$1+2*$O$2)</f>
        <v>1</v>
      </c>
      <c r="L228" s="22" t="b">
        <f t="shared" si="16"/>
        <v>0</v>
      </c>
    </row>
    <row r="229" spans="1:12" ht="16.5" thickBot="1" x14ac:dyDescent="0.5">
      <c r="A229" s="4">
        <v>40689</v>
      </c>
      <c r="B229" s="10">
        <v>44.751221000000001</v>
      </c>
      <c r="C229" s="24">
        <v>152.62954199999999</v>
      </c>
      <c r="D229" s="12">
        <v>16.742937000000001</v>
      </c>
      <c r="F229" s="16">
        <f t="shared" si="17"/>
        <v>-5.2854687241499776E-3</v>
      </c>
      <c r="G229" s="11">
        <f t="shared" si="18"/>
        <v>1.5653471400996068</v>
      </c>
      <c r="H229" s="11">
        <f t="array" ref="H229">(D229-D228)/D228</f>
        <v>1.0405837310831955E-2</v>
      </c>
      <c r="I229" s="12">
        <f t="shared" si="19"/>
        <v>1.3013029322290113</v>
      </c>
      <c r="J229" s="25">
        <f t="shared" si="15"/>
        <v>0.26404420787059557</v>
      </c>
      <c r="K229" s="21" t="b">
        <f t="array" ref="K229">J229&gt;=($O$1+2*$O$2)</f>
        <v>1</v>
      </c>
      <c r="L229" s="22" t="b">
        <f t="shared" si="16"/>
        <v>0</v>
      </c>
    </row>
    <row r="230" spans="1:12" ht="16.5" thickBot="1" x14ac:dyDescent="0.5">
      <c r="A230" s="4">
        <v>40690</v>
      </c>
      <c r="B230" s="10">
        <v>45.073168000000003</v>
      </c>
      <c r="C230" s="24">
        <v>152.92169699999999</v>
      </c>
      <c r="D230" s="12">
        <v>16.760179999999998</v>
      </c>
      <c r="F230" s="16">
        <f t="shared" si="17"/>
        <v>7.1941500769331307E-3</v>
      </c>
      <c r="G230" s="11">
        <f t="shared" si="18"/>
        <v>1.5766084823479813</v>
      </c>
      <c r="H230" s="11">
        <f t="array" ref="H230">(D230-D229)/D229</f>
        <v>1.0298671015722635E-3</v>
      </c>
      <c r="I230" s="12">
        <f t="shared" si="19"/>
        <v>1.3026431013080935</v>
      </c>
      <c r="J230" s="25">
        <f t="shared" si="15"/>
        <v>0.27396538103988788</v>
      </c>
      <c r="K230" s="21" t="b">
        <f t="array" ref="K230">J230&gt;=($O$1+2*$O$2)</f>
        <v>1</v>
      </c>
      <c r="L230" s="22" t="b">
        <f t="shared" si="16"/>
        <v>0</v>
      </c>
    </row>
    <row r="231" spans="1:12" ht="16.5" thickBot="1" x14ac:dyDescent="0.5">
      <c r="A231" s="4">
        <v>40694</v>
      </c>
      <c r="B231" s="10">
        <v>46.465128</v>
      </c>
      <c r="C231" s="24">
        <v>154.22723099999999</v>
      </c>
      <c r="D231" s="12">
        <v>16.932608999999999</v>
      </c>
      <c r="F231" s="16">
        <f t="shared" si="17"/>
        <v>3.0882231308879762E-2</v>
      </c>
      <c r="G231" s="11">
        <f t="shared" si="18"/>
        <v>1.6252976701833934</v>
      </c>
      <c r="H231" s="11">
        <f t="array" ref="H231">(D231-D230)/D230</f>
        <v>1.0288015999828228E-2</v>
      </c>
      <c r="I231" s="12">
        <f t="shared" si="19"/>
        <v>1.3160447143764169</v>
      </c>
      <c r="J231" s="25">
        <f t="shared" si="15"/>
        <v>0.30925295580697654</v>
      </c>
      <c r="K231" s="21" t="b">
        <f t="array" ref="K231">J231&gt;=($O$1+2*$O$2)</f>
        <v>1</v>
      </c>
      <c r="L231" s="22" t="b">
        <f t="shared" si="16"/>
        <v>0</v>
      </c>
    </row>
    <row r="232" spans="1:12" ht="16.5" thickBot="1" x14ac:dyDescent="0.5">
      <c r="A232" s="4">
        <v>40695</v>
      </c>
      <c r="B232" s="10">
        <v>46.155208999999999</v>
      </c>
      <c r="C232" s="24">
        <v>152.06350800000001</v>
      </c>
      <c r="D232" s="12">
        <v>16.492913000000001</v>
      </c>
      <c r="F232" s="16">
        <f t="shared" si="17"/>
        <v>-6.6699267459244E-3</v>
      </c>
      <c r="G232" s="11">
        <f t="shared" si="18"/>
        <v>1.6144570537829486</v>
      </c>
      <c r="H232" s="11">
        <f t="array" ref="H232">(D232-D231)/D231</f>
        <v>-2.5967409983895445E-2</v>
      </c>
      <c r="I232" s="12">
        <f t="shared" si="19"/>
        <v>1.2818704417210658</v>
      </c>
      <c r="J232" s="25">
        <f t="shared" si="15"/>
        <v>0.33258661206188278</v>
      </c>
      <c r="K232" s="21" t="b">
        <f t="array" ref="K232">J232&gt;=($O$1+2*$O$2)</f>
        <v>1</v>
      </c>
      <c r="L232" s="22" t="b">
        <f t="shared" si="16"/>
        <v>0</v>
      </c>
    </row>
    <row r="233" spans="1:12" ht="16.5" thickBot="1" x14ac:dyDescent="0.5">
      <c r="A233" s="4">
        <v>40696</v>
      </c>
      <c r="B233" s="10">
        <v>46.234028000000002</v>
      </c>
      <c r="C233" s="24">
        <v>151.634413</v>
      </c>
      <c r="D233" s="12">
        <v>16.458428000000001</v>
      </c>
      <c r="F233" s="16">
        <f t="shared" si="17"/>
        <v>1.7076945746254308E-3</v>
      </c>
      <c r="G233" s="11">
        <f t="shared" si="18"/>
        <v>1.6172140533346595</v>
      </c>
      <c r="H233" s="11">
        <f t="array" ref="H233">(D233-D232)/D232</f>
        <v>-2.0908980724023765E-3</v>
      </c>
      <c r="I233" s="12">
        <f t="shared" si="19"/>
        <v>1.2791901812854016</v>
      </c>
      <c r="J233" s="25">
        <f t="shared" si="15"/>
        <v>0.33802387204925788</v>
      </c>
      <c r="K233" s="21" t="b">
        <f t="array" ref="K233">J233&gt;=($O$1+2*$O$2)</f>
        <v>1</v>
      </c>
      <c r="L233" s="22" t="b">
        <f t="shared" si="16"/>
        <v>0</v>
      </c>
    </row>
    <row r="234" spans="1:12" ht="16.5" thickBot="1" x14ac:dyDescent="0.5">
      <c r="A234" s="4">
        <v>40697</v>
      </c>
      <c r="B234" s="10">
        <v>45.878689000000001</v>
      </c>
      <c r="C234" s="24">
        <v>150.684935</v>
      </c>
      <c r="D234" s="12">
        <v>16.225646999999999</v>
      </c>
      <c r="F234" s="16">
        <f t="shared" si="17"/>
        <v>-7.6856595752375443E-3</v>
      </c>
      <c r="G234" s="11">
        <f t="shared" si="18"/>
        <v>1.6047846966604391</v>
      </c>
      <c r="H234" s="11">
        <f t="array" ref="H234">(D234-D233)/D233</f>
        <v>-1.4143574343795335E-2</v>
      </c>
      <c r="I234" s="12">
        <f t="shared" si="19"/>
        <v>1.2610978598565386</v>
      </c>
      <c r="J234" s="25">
        <f t="shared" si="15"/>
        <v>0.34368683680390055</v>
      </c>
      <c r="K234" s="21" t="b">
        <f t="array" ref="K234">J234&gt;=($O$1+2*$O$2)</f>
        <v>1</v>
      </c>
      <c r="L234" s="22" t="b">
        <f t="shared" si="16"/>
        <v>0</v>
      </c>
    </row>
    <row r="235" spans="1:12" ht="16.5" thickBot="1" x14ac:dyDescent="0.5">
      <c r="A235" s="4">
        <v>40700</v>
      </c>
      <c r="B235" s="10">
        <v>45.157327000000002</v>
      </c>
      <c r="C235" s="24">
        <v>150.41104300000001</v>
      </c>
      <c r="D235" s="12">
        <v>15.915272999999999</v>
      </c>
      <c r="F235" s="16">
        <f t="shared" si="17"/>
        <v>-1.5723247889668321E-2</v>
      </c>
      <c r="G235" s="11">
        <f t="shared" si="18"/>
        <v>1.579552269065301</v>
      </c>
      <c r="H235" s="11">
        <f t="array" ref="H235">(D235-D234)/D234</f>
        <v>-1.9128605472558322E-2</v>
      </c>
      <c r="I235" s="12">
        <f t="shared" si="19"/>
        <v>1.2369748164330552</v>
      </c>
      <c r="J235" s="25">
        <f t="shared" si="15"/>
        <v>0.34257745263224582</v>
      </c>
      <c r="K235" s="21" t="b">
        <f t="array" ref="K235">J235&gt;=($O$1+2*$O$2)</f>
        <v>1</v>
      </c>
      <c r="L235" s="22" t="b">
        <f t="shared" si="16"/>
        <v>0</v>
      </c>
    </row>
    <row r="236" spans="1:12" ht="16.5" thickBot="1" x14ac:dyDescent="0.5">
      <c r="A236" s="4">
        <v>40701</v>
      </c>
      <c r="B236" s="10">
        <v>44.355815999999997</v>
      </c>
      <c r="C236" s="24">
        <v>149.44330199999999</v>
      </c>
      <c r="D236" s="12">
        <v>15.932516</v>
      </c>
      <c r="F236" s="16">
        <f t="shared" si="17"/>
        <v>-1.7749301237427205E-2</v>
      </c>
      <c r="G236" s="11">
        <f t="shared" si="18"/>
        <v>1.5515163200213993</v>
      </c>
      <c r="H236" s="11">
        <f t="array" ref="H236">(D236-D235)/D235</f>
        <v>1.0834247078262851E-3</v>
      </c>
      <c r="I236" s="12">
        <f t="shared" si="19"/>
        <v>1.2383149855121376</v>
      </c>
      <c r="J236" s="25">
        <f t="shared" si="15"/>
        <v>0.31320133450926169</v>
      </c>
      <c r="K236" s="21" t="b">
        <f t="array" ref="K236">J236&gt;=($O$1+2*$O$2)</f>
        <v>1</v>
      </c>
      <c r="L236" s="22" t="b">
        <f t="shared" si="16"/>
        <v>0</v>
      </c>
    </row>
    <row r="237" spans="1:12" ht="16.5" thickBot="1" x14ac:dyDescent="0.5">
      <c r="A237" s="4">
        <v>40702</v>
      </c>
      <c r="B237" s="10">
        <v>44.382530000000003</v>
      </c>
      <c r="C237" s="24">
        <v>150.03672299999999</v>
      </c>
      <c r="D237" s="12">
        <v>15.958382</v>
      </c>
      <c r="F237" s="16">
        <f t="shared" si="17"/>
        <v>6.022660027268004E-4</v>
      </c>
      <c r="G237" s="11">
        <f t="shared" si="18"/>
        <v>1.5524507455536238</v>
      </c>
      <c r="H237" s="11">
        <f t="array" ref="H237">(D237-D236)/D236</f>
        <v>1.6234724007181674E-3</v>
      </c>
      <c r="I237" s="12">
        <f t="shared" si="19"/>
        <v>1.2403253557145124</v>
      </c>
      <c r="J237" s="25">
        <f t="shared" si="15"/>
        <v>0.31212538983911142</v>
      </c>
      <c r="K237" s="21" t="b">
        <f t="array" ref="K237">J237&gt;=($O$1+2*$O$2)</f>
        <v>1</v>
      </c>
      <c r="L237" s="22" t="b">
        <f t="shared" si="16"/>
        <v>0</v>
      </c>
    </row>
    <row r="238" spans="1:12" ht="16.5" thickBot="1" x14ac:dyDescent="0.5">
      <c r="A238" s="4">
        <v>40703</v>
      </c>
      <c r="B238" s="10">
        <v>44.282333000000001</v>
      </c>
      <c r="C238" s="24">
        <v>150.49320599999999</v>
      </c>
      <c r="D238" s="12">
        <v>16.018732</v>
      </c>
      <c r="F238" s="16">
        <f t="shared" si="17"/>
        <v>-2.2575774747406563E-3</v>
      </c>
      <c r="G238" s="11">
        <f t="shared" si="18"/>
        <v>1.5489459677198176</v>
      </c>
      <c r="H238" s="11">
        <f t="array" ref="H238">(D238-D237)/D237</f>
        <v>3.7817117048582795E-3</v>
      </c>
      <c r="I238" s="12">
        <f t="shared" si="19"/>
        <v>1.2450159086300503</v>
      </c>
      <c r="J238" s="25">
        <f t="shared" si="15"/>
        <v>0.30393005908976733</v>
      </c>
      <c r="K238" s="21" t="b">
        <f t="array" ref="K238">J238&gt;=($O$1+2*$O$2)</f>
        <v>1</v>
      </c>
      <c r="L238" s="22" t="b">
        <f t="shared" si="16"/>
        <v>0</v>
      </c>
    </row>
    <row r="239" spans="1:12" ht="16.5" thickBot="1" x14ac:dyDescent="0.5">
      <c r="A239" s="4">
        <v>40704</v>
      </c>
      <c r="B239" s="10">
        <v>43.535590999999997</v>
      </c>
      <c r="C239" s="24">
        <v>148.97767999999999</v>
      </c>
      <c r="D239" s="12">
        <v>15.794573</v>
      </c>
      <c r="F239" s="16">
        <f t="shared" si="17"/>
        <v>-1.686320366183066E-2</v>
      </c>
      <c r="G239" s="11">
        <f t="shared" si="18"/>
        <v>1.5228257764049868</v>
      </c>
      <c r="H239" s="11">
        <f t="array" ref="H239">(D239-D238)/D238</f>
        <v>-1.3993554546015266E-2</v>
      </c>
      <c r="I239" s="12">
        <f t="shared" si="19"/>
        <v>1.227593710601979</v>
      </c>
      <c r="J239" s="25">
        <f t="shared" si="15"/>
        <v>0.29523206580300787</v>
      </c>
      <c r="K239" s="21" t="b">
        <f t="array" ref="K239">J239&gt;=($O$1+2*$O$2)</f>
        <v>1</v>
      </c>
      <c r="L239" s="22" t="b">
        <f t="shared" si="16"/>
        <v>0</v>
      </c>
    </row>
    <row r="240" spans="1:12" ht="16.5" thickBot="1" x14ac:dyDescent="0.5">
      <c r="A240" s="4">
        <v>40707</v>
      </c>
      <c r="B240" s="10">
        <v>43.629100000000001</v>
      </c>
      <c r="C240" s="24">
        <v>148.96855600000001</v>
      </c>
      <c r="D240" s="12">
        <v>15.854922999999999</v>
      </c>
      <c r="F240" s="16">
        <f t="shared" si="17"/>
        <v>2.1478748272879657E-3</v>
      </c>
      <c r="G240" s="11">
        <f t="shared" si="18"/>
        <v>1.5260966155564726</v>
      </c>
      <c r="H240" s="11">
        <f t="array" ref="H240">(D240-D239)/D239</f>
        <v>3.8209326709876664E-3</v>
      </c>
      <c r="I240" s="12">
        <f t="shared" si="19"/>
        <v>1.2322842635175171</v>
      </c>
      <c r="J240" s="25">
        <f t="shared" si="15"/>
        <v>0.2938123520389555</v>
      </c>
      <c r="K240" s="21" t="b">
        <f t="array" ref="K240">J240&gt;=($O$1+2*$O$2)</f>
        <v>1</v>
      </c>
      <c r="L240" s="22" t="b">
        <f t="shared" si="16"/>
        <v>0</v>
      </c>
    </row>
    <row r="241" spans="1:12" ht="16.5" thickBot="1" x14ac:dyDescent="0.5">
      <c r="A241" s="4">
        <v>40708</v>
      </c>
      <c r="B241" s="10">
        <v>44.409244000000001</v>
      </c>
      <c r="C241" s="24">
        <v>149.83587</v>
      </c>
      <c r="D241" s="12">
        <v>16.035975000000001</v>
      </c>
      <c r="F241" s="16">
        <f t="shared" si="17"/>
        <v>1.7881276487481976E-2</v>
      </c>
      <c r="G241" s="11">
        <f t="shared" si="18"/>
        <v>1.5533851710858484</v>
      </c>
      <c r="H241" s="11">
        <f t="array" ref="H241">(D241-D240)/D240</f>
        <v>1.14192922917381E-2</v>
      </c>
      <c r="I241" s="12">
        <f t="shared" si="19"/>
        <v>1.2463560777091327</v>
      </c>
      <c r="J241" s="25">
        <f t="shared" si="15"/>
        <v>0.30702909337671569</v>
      </c>
      <c r="K241" s="21" t="b">
        <f t="array" ref="K241">J241&gt;=($O$1+2*$O$2)</f>
        <v>1</v>
      </c>
      <c r="L241" s="22" t="b">
        <f t="shared" si="16"/>
        <v>0</v>
      </c>
    </row>
    <row r="242" spans="1:12" ht="16.5" thickBot="1" x14ac:dyDescent="0.5">
      <c r="A242" s="4">
        <v>40709</v>
      </c>
      <c r="B242" s="10">
        <v>43.649140000000003</v>
      </c>
      <c r="C242" s="24">
        <v>148.20166800000001</v>
      </c>
      <c r="D242" s="12">
        <v>15.854922999999999</v>
      </c>
      <c r="F242" s="16">
        <f t="shared" si="17"/>
        <v>-1.7115895960759842E-2</v>
      </c>
      <c r="G242" s="11">
        <f t="shared" si="18"/>
        <v>1.5267975921105559</v>
      </c>
      <c r="H242" s="11">
        <f t="array" ref="H242">(D242-D241)/D241</f>
        <v>-1.129036432147101E-2</v>
      </c>
      <c r="I242" s="12">
        <f t="shared" si="19"/>
        <v>1.2322842635175169</v>
      </c>
      <c r="J242" s="25">
        <f t="shared" si="15"/>
        <v>0.29451332859303903</v>
      </c>
      <c r="K242" s="21" t="b">
        <f t="array" ref="K242">J242&gt;=($O$1+2*$O$2)</f>
        <v>1</v>
      </c>
      <c r="L242" s="22" t="b">
        <f t="shared" si="16"/>
        <v>0</v>
      </c>
    </row>
    <row r="243" spans="1:12" ht="16.5" thickBot="1" x14ac:dyDescent="0.5">
      <c r="A243" s="4">
        <v>40710</v>
      </c>
      <c r="B243" s="10">
        <v>43.436743</v>
      </c>
      <c r="C243" s="24">
        <v>148.51207299999999</v>
      </c>
      <c r="D243" s="12">
        <v>16.028772</v>
      </c>
      <c r="F243" s="16">
        <f t="shared" si="17"/>
        <v>-4.8660065238399384E-3</v>
      </c>
      <c r="G243" s="11">
        <f t="shared" si="18"/>
        <v>1.5193681850667629</v>
      </c>
      <c r="H243" s="11">
        <f t="array" ref="H243">(D243-D242)/D242</f>
        <v>1.0964985449629783E-2</v>
      </c>
      <c r="I243" s="12">
        <f t="shared" si="19"/>
        <v>1.2457962425367943</v>
      </c>
      <c r="J243" s="25">
        <f t="shared" si="15"/>
        <v>0.27357194252996853</v>
      </c>
      <c r="K243" s="21" t="b">
        <f t="array" ref="K243">J243&gt;=($O$1+2*$O$2)</f>
        <v>1</v>
      </c>
      <c r="L243" s="22" t="b">
        <f t="shared" si="16"/>
        <v>0</v>
      </c>
    </row>
    <row r="244" spans="1:12" ht="16.5" thickBot="1" x14ac:dyDescent="0.5">
      <c r="A244" s="4">
        <v>40711</v>
      </c>
      <c r="B244" s="10">
        <v>42.782172000000003</v>
      </c>
      <c r="C244" s="24">
        <v>150.12802600000001</v>
      </c>
      <c r="D244" s="12">
        <v>16.072233000000001</v>
      </c>
      <c r="F244" s="16">
        <f t="shared" si="17"/>
        <v>-1.506952305332831E-2</v>
      </c>
      <c r="G244" s="11">
        <f t="shared" si="18"/>
        <v>1.4964720311754056</v>
      </c>
      <c r="H244" s="11">
        <f t="array" ref="H244">(D244-D243)/D243</f>
        <v>2.7114366590279427E-3</v>
      </c>
      <c r="I244" s="12">
        <f t="shared" si="19"/>
        <v>1.2491741401384879</v>
      </c>
      <c r="J244" s="25">
        <f t="shared" si="15"/>
        <v>0.24729789103691768</v>
      </c>
      <c r="K244" s="21" t="b">
        <f t="array" ref="K244">J244&gt;=($O$1+2*$O$2)</f>
        <v>1</v>
      </c>
      <c r="L244" s="22" t="b">
        <f t="shared" si="16"/>
        <v>0</v>
      </c>
    </row>
    <row r="245" spans="1:12" ht="16.5" thickBot="1" x14ac:dyDescent="0.5">
      <c r="A245" s="4">
        <v>40714</v>
      </c>
      <c r="B245" s="10">
        <v>42.122253999999998</v>
      </c>
      <c r="C245" s="24">
        <v>150.65754699999999</v>
      </c>
      <c r="D245" s="12">
        <v>16.06354</v>
      </c>
      <c r="F245" s="16">
        <f t="shared" si="17"/>
        <v>-1.5425070050207003E-2</v>
      </c>
      <c r="G245" s="11">
        <f t="shared" si="18"/>
        <v>1.4733888452663495</v>
      </c>
      <c r="H245" s="11">
        <f t="array" ref="H245">(D245-D244)/D244</f>
        <v>-5.4087070539612946E-4</v>
      </c>
      <c r="I245" s="12">
        <f t="shared" si="19"/>
        <v>1.2484984984401486</v>
      </c>
      <c r="J245" s="25">
        <f t="shared" si="15"/>
        <v>0.2248903468262009</v>
      </c>
      <c r="K245" s="21" t="b">
        <f t="array" ref="K245">J245&gt;=($O$1+2*$O$2)</f>
        <v>0</v>
      </c>
      <c r="L245" s="22" t="b">
        <f t="shared" si="16"/>
        <v>0</v>
      </c>
    </row>
    <row r="246" spans="1:12" ht="16.5" thickBot="1" x14ac:dyDescent="0.5">
      <c r="A246" s="4">
        <v>40715</v>
      </c>
      <c r="B246" s="10">
        <v>43.455444999999997</v>
      </c>
      <c r="C246" s="24">
        <v>151.75310300000001</v>
      </c>
      <c r="D246" s="12">
        <v>16.350389</v>
      </c>
      <c r="F246" s="16">
        <f t="shared" si="17"/>
        <v>3.1650514238862892E-2</v>
      </c>
      <c r="G246" s="11">
        <f t="shared" si="18"/>
        <v>1.520022359892834</v>
      </c>
      <c r="H246" s="11">
        <f t="array" ref="H246">(D246-D245)/D245</f>
        <v>1.7857147303769912E-2</v>
      </c>
      <c r="I246" s="12">
        <f t="shared" si="19"/>
        <v>1.2707931200353297</v>
      </c>
      <c r="J246" s="25">
        <f t="shared" si="15"/>
        <v>0.24922923985750423</v>
      </c>
      <c r="K246" s="21" t="b">
        <f t="array" ref="K246">J246&gt;=($O$1+2*$O$2)</f>
        <v>1</v>
      </c>
      <c r="L246" s="22" t="b">
        <f t="shared" si="16"/>
        <v>0</v>
      </c>
    </row>
    <row r="247" spans="1:12" ht="16.5" thickBot="1" x14ac:dyDescent="0.5">
      <c r="A247" s="4">
        <v>40716</v>
      </c>
      <c r="B247" s="10">
        <v>43.096093000000003</v>
      </c>
      <c r="C247" s="24">
        <v>151.26009400000001</v>
      </c>
      <c r="D247" s="12">
        <v>16.133078999999999</v>
      </c>
      <c r="F247" s="16">
        <f t="shared" si="17"/>
        <v>-8.269435510325442E-3</v>
      </c>
      <c r="G247" s="11">
        <f t="shared" si="18"/>
        <v>1.5074526330134475</v>
      </c>
      <c r="H247" s="11">
        <f t="array" ref="H247">(D247-D246)/D246</f>
        <v>-1.3290815282743501E-2</v>
      </c>
      <c r="I247" s="12">
        <f t="shared" si="19"/>
        <v>1.2539032434143589</v>
      </c>
      <c r="J247" s="25">
        <f t="shared" si="15"/>
        <v>0.25354938959908857</v>
      </c>
      <c r="K247" s="21" t="b">
        <f t="array" ref="K247">J247&gt;=($O$1+2*$O$2)</f>
        <v>1</v>
      </c>
      <c r="L247" s="22" t="b">
        <f t="shared" si="16"/>
        <v>0</v>
      </c>
    </row>
    <row r="248" spans="1:12" ht="16.5" thickBot="1" x14ac:dyDescent="0.5">
      <c r="A248" s="4">
        <v>40717</v>
      </c>
      <c r="B248" s="10">
        <v>44.247602999999998</v>
      </c>
      <c r="C248" s="24">
        <v>151.661801</v>
      </c>
      <c r="D248" s="12">
        <v>15.976616</v>
      </c>
      <c r="F248" s="16">
        <f t="shared" si="17"/>
        <v>2.671959149521964E-2</v>
      </c>
      <c r="G248" s="11">
        <f t="shared" si="18"/>
        <v>1.54773115156596</v>
      </c>
      <c r="H248" s="11">
        <f t="array" ref="H248">(D248-D247)/D247</f>
        <v>-9.6982727227703219E-3</v>
      </c>
      <c r="I248" s="12">
        <f t="shared" si="19"/>
        <v>1.2417425477917601</v>
      </c>
      <c r="J248" s="25">
        <f t="shared" si="15"/>
        <v>0.3059886037741999</v>
      </c>
      <c r="K248" s="21" t="b">
        <f t="array" ref="K248">J248&gt;=($O$1+2*$O$2)</f>
        <v>1</v>
      </c>
      <c r="L248" s="22" t="b">
        <f t="shared" si="16"/>
        <v>0</v>
      </c>
    </row>
    <row r="249" spans="1:12" ht="16.5" thickBot="1" x14ac:dyDescent="0.5">
      <c r="A249" s="4">
        <v>40718</v>
      </c>
      <c r="B249" s="10">
        <v>43.595708000000002</v>
      </c>
      <c r="C249" s="24">
        <v>150.70319799999999</v>
      </c>
      <c r="D249" s="12">
        <v>15.620227999999999</v>
      </c>
      <c r="F249" s="16">
        <f t="shared" si="17"/>
        <v>-1.4732888468557182E-2</v>
      </c>
      <c r="G249" s="11">
        <f t="shared" si="18"/>
        <v>1.5249286011306271</v>
      </c>
      <c r="H249" s="11">
        <f t="array" ref="H249">(D249-D248)/D248</f>
        <v>-2.2306851463413831E-2</v>
      </c>
      <c r="I249" s="12">
        <f t="shared" si="19"/>
        <v>1.2140431812223682</v>
      </c>
      <c r="J249" s="25">
        <f t="shared" si="15"/>
        <v>0.31088541990825891</v>
      </c>
      <c r="K249" s="21" t="b">
        <f t="array" ref="K249">J249&gt;=($O$1+2*$O$2)</f>
        <v>1</v>
      </c>
      <c r="L249" s="22" t="b">
        <f t="shared" si="16"/>
        <v>0</v>
      </c>
    </row>
    <row r="250" spans="1:12" ht="16.5" thickBot="1" x14ac:dyDescent="0.5">
      <c r="A250" s="4">
        <v>40721</v>
      </c>
      <c r="B250" s="10">
        <v>44.355815999999997</v>
      </c>
      <c r="C250" s="24">
        <v>153.031249</v>
      </c>
      <c r="D250" s="12">
        <v>15.889692999999999</v>
      </c>
      <c r="F250" s="16">
        <f t="shared" si="17"/>
        <v>1.7435386070573627E-2</v>
      </c>
      <c r="G250" s="11">
        <f t="shared" si="18"/>
        <v>1.5515163200213993</v>
      </c>
      <c r="H250" s="11">
        <f t="array" ref="H250">(D250-D249)/D249</f>
        <v>1.7251028602143344E-2</v>
      </c>
      <c r="I250" s="12">
        <f t="shared" si="19"/>
        <v>1.2349866748658724</v>
      </c>
      <c r="J250" s="25">
        <f t="shared" si="15"/>
        <v>0.31652964515552684</v>
      </c>
      <c r="K250" s="21" t="b">
        <f t="array" ref="K250">J250&gt;=($O$1+2*$O$2)</f>
        <v>1</v>
      </c>
      <c r="L250" s="22" t="b">
        <f t="shared" si="16"/>
        <v>0</v>
      </c>
    </row>
    <row r="251" spans="1:12" ht="16.5" thickBot="1" x14ac:dyDescent="0.5">
      <c r="A251" s="4">
        <v>40722</v>
      </c>
      <c r="B251" s="10">
        <v>44.785961</v>
      </c>
      <c r="C251" s="24">
        <v>155.213235</v>
      </c>
      <c r="D251" s="12">
        <v>16.028772</v>
      </c>
      <c r="F251" s="16">
        <f t="shared" si="17"/>
        <v>9.6976008738065625E-3</v>
      </c>
      <c r="G251" s="11">
        <f t="shared" si="18"/>
        <v>1.5665623060421638</v>
      </c>
      <c r="H251" s="11">
        <f t="array" ref="H251">(D251-D250)/D250</f>
        <v>8.7527808120648164E-3</v>
      </c>
      <c r="I251" s="12">
        <f t="shared" si="19"/>
        <v>1.2457962425367943</v>
      </c>
      <c r="J251" s="25">
        <f t="shared" si="15"/>
        <v>0.32076606350536951</v>
      </c>
      <c r="K251" s="21" t="b">
        <f t="array" ref="K251">J251&gt;=($O$1+2*$O$2)</f>
        <v>1</v>
      </c>
      <c r="L251" s="22" t="b">
        <f t="shared" si="16"/>
        <v>0</v>
      </c>
    </row>
    <row r="252" spans="1:12" ht="16.5" thickBot="1" x14ac:dyDescent="0.5">
      <c r="A252" s="4">
        <v>40723</v>
      </c>
      <c r="B252" s="10">
        <v>44.622982999999998</v>
      </c>
      <c r="C252" s="24">
        <v>155.69710599999999</v>
      </c>
      <c r="D252" s="12">
        <v>16.133078999999999</v>
      </c>
      <c r="F252" s="16">
        <f t="shared" si="17"/>
        <v>-3.6390421543037229E-3</v>
      </c>
      <c r="G252" s="11">
        <f t="shared" si="18"/>
        <v>1.560861519773133</v>
      </c>
      <c r="H252" s="11">
        <f t="array" ref="H252">(D252-D251)/D251</f>
        <v>6.507485414353551E-3</v>
      </c>
      <c r="I252" s="12">
        <f t="shared" si="19"/>
        <v>1.2539032434143591</v>
      </c>
      <c r="J252" s="25">
        <f t="shared" si="15"/>
        <v>0.30695827635877393</v>
      </c>
      <c r="K252" s="21" t="b">
        <f t="array" ref="K252">J252&gt;=($O$1+2*$O$2)</f>
        <v>1</v>
      </c>
      <c r="L252" s="22" t="b">
        <f t="shared" si="16"/>
        <v>0</v>
      </c>
    </row>
    <row r="253" spans="1:12" ht="16.5" thickBot="1" x14ac:dyDescent="0.5">
      <c r="A253" s="4">
        <v>40724</v>
      </c>
      <c r="B253" s="10">
        <v>44.840730999999998</v>
      </c>
      <c r="C253" s="24">
        <v>156.61921000000001</v>
      </c>
      <c r="D253" s="12">
        <v>16.393851999999999</v>
      </c>
      <c r="F253" s="16">
        <f t="shared" si="17"/>
        <v>4.8797275610194032E-3</v>
      </c>
      <c r="G253" s="11">
        <f t="shared" si="18"/>
        <v>1.5684780987501048</v>
      </c>
      <c r="H253" s="11">
        <f t="array" ref="H253">(D253-D252)/D252</f>
        <v>1.6163870517214997E-2</v>
      </c>
      <c r="I253" s="12">
        <f t="shared" si="19"/>
        <v>1.2741711730820247</v>
      </c>
      <c r="J253" s="25">
        <f t="shared" si="15"/>
        <v>0.29430692566808014</v>
      </c>
      <c r="K253" s="21" t="b">
        <f t="array" ref="K253">J253&gt;=($O$1+2*$O$2)</f>
        <v>1</v>
      </c>
      <c r="L253" s="22" t="b">
        <f t="shared" si="16"/>
        <v>0</v>
      </c>
    </row>
    <row r="254" spans="1:12" ht="16.5" thickBot="1" x14ac:dyDescent="0.5">
      <c r="A254" s="4">
        <v>40725</v>
      </c>
      <c r="B254" s="10">
        <v>45.854638999999999</v>
      </c>
      <c r="C254" s="24">
        <v>159.34896699999999</v>
      </c>
      <c r="D254" s="12">
        <v>16.689394</v>
      </c>
      <c r="F254" s="16">
        <f t="shared" si="17"/>
        <v>2.2611317375713629E-2</v>
      </c>
      <c r="G254" s="11">
        <f t="shared" si="18"/>
        <v>1.6039434548377993</v>
      </c>
      <c r="H254" s="11">
        <f t="array" ref="H254">(D254-D253)/D253</f>
        <v>1.8027611814477835E-2</v>
      </c>
      <c r="I254" s="12">
        <f t="shared" si="19"/>
        <v>1.2971414363755451</v>
      </c>
      <c r="J254" s="25">
        <f t="shared" si="15"/>
        <v>0.30680201846225419</v>
      </c>
      <c r="K254" s="21" t="b">
        <f t="array" ref="K254">J254&gt;=($O$1+2*$O$2)</f>
        <v>1</v>
      </c>
      <c r="L254" s="22" t="b">
        <f t="shared" si="16"/>
        <v>0</v>
      </c>
    </row>
    <row r="255" spans="1:12" ht="16.5" thickBot="1" x14ac:dyDescent="0.5">
      <c r="A255" s="5">
        <v>40729</v>
      </c>
      <c r="B255" s="13">
        <v>46.678865999999999</v>
      </c>
      <c r="C255" s="19">
        <v>160.161506</v>
      </c>
      <c r="D255" s="14">
        <v>16.550315000000001</v>
      </c>
      <c r="F255" s="16">
        <f t="shared" si="17"/>
        <v>1.7974778953117491E-2</v>
      </c>
      <c r="G255" s="11">
        <f t="shared" si="18"/>
        <v>1.6327739838918083</v>
      </c>
      <c r="H255" s="11">
        <f t="array" ref="H255">(D255-D254)/D254</f>
        <v>-8.3333762747765938E-3</v>
      </c>
      <c r="I255" s="12">
        <f t="shared" si="19"/>
        <v>1.2863318687046235</v>
      </c>
      <c r="J255" s="25">
        <f t="shared" si="15"/>
        <v>0.34644211518718482</v>
      </c>
      <c r="K255" s="21" t="b">
        <f t="array" ref="K255">J255&gt;=($O$1+2*$O$2)</f>
        <v>1</v>
      </c>
      <c r="L255" s="22" t="b">
        <f t="shared" si="16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P1411"/>
  <sheetViews>
    <sheetView topLeftCell="A253" workbookViewId="0">
      <selection activeCell="C368" sqref="C368"/>
    </sheetView>
  </sheetViews>
  <sheetFormatPr defaultColWidth="8.796875" defaultRowHeight="16.149999999999999" x14ac:dyDescent="0.45"/>
  <cols>
    <col min="1" max="1" width="11.6640625" customWidth="1"/>
    <col min="2" max="2" width="18.6640625" style="32" customWidth="1"/>
    <col min="3" max="3" width="19.1328125" style="32" customWidth="1"/>
    <col min="4" max="4" width="20.46484375" style="32" customWidth="1"/>
    <col min="5" max="5" width="17.6640625" style="32" customWidth="1"/>
    <col min="6" max="6" width="17.1328125" style="32" customWidth="1"/>
    <col min="7" max="7" width="15.1328125" style="32" customWidth="1"/>
    <col min="8" max="11" width="14.1328125" style="32"/>
    <col min="12" max="16" width="8.796875" style="32"/>
  </cols>
  <sheetData>
    <row r="1" spans="1:16" ht="16.5" thickBot="1" x14ac:dyDescent="0.5">
      <c r="A1" s="29" t="s">
        <v>0</v>
      </c>
      <c r="B1" s="33" t="s">
        <v>35</v>
      </c>
      <c r="C1" s="33" t="s">
        <v>36</v>
      </c>
      <c r="D1" s="33" t="s">
        <v>37</v>
      </c>
      <c r="E1" s="33" t="s">
        <v>38</v>
      </c>
      <c r="F1" s="33" t="s">
        <v>39</v>
      </c>
      <c r="G1" s="33" t="s">
        <v>40</v>
      </c>
      <c r="H1" s="33" t="s">
        <v>41</v>
      </c>
      <c r="I1" s="33" t="s">
        <v>42</v>
      </c>
      <c r="J1" s="33" t="s">
        <v>43</v>
      </c>
      <c r="K1" s="33" t="s">
        <v>44</v>
      </c>
      <c r="L1" s="33" t="s">
        <v>45</v>
      </c>
      <c r="M1" s="33" t="s">
        <v>46</v>
      </c>
      <c r="N1" s="33" t="s">
        <v>47</v>
      </c>
      <c r="O1" s="33" t="s">
        <v>48</v>
      </c>
      <c r="P1" s="34" t="s">
        <v>49</v>
      </c>
    </row>
    <row r="2" spans="1:16" x14ac:dyDescent="0.45">
      <c r="A2" s="48">
        <v>40182</v>
      </c>
      <c r="B2" s="35">
        <v>17.19398</v>
      </c>
      <c r="C2" s="35">
        <v>43.326799999999999</v>
      </c>
      <c r="D2" s="35">
        <v>13.2363</v>
      </c>
      <c r="E2" s="35">
        <v>39.9</v>
      </c>
      <c r="F2" s="35">
        <v>24.94605</v>
      </c>
      <c r="G2" s="35">
        <v>21.842030000000001</v>
      </c>
      <c r="H2" s="35">
        <v>15.265219999999999</v>
      </c>
      <c r="I2" s="35">
        <v>9.3161299999999994</v>
      </c>
      <c r="J2" s="35">
        <v>50.880699999999997</v>
      </c>
      <c r="K2" s="35">
        <v>28.788900000000002</v>
      </c>
      <c r="L2" s="35">
        <v>8.1130800000000001</v>
      </c>
      <c r="M2" s="35">
        <v>7.93912</v>
      </c>
      <c r="N2" s="35">
        <v>16.961970000000001</v>
      </c>
      <c r="O2" s="35">
        <v>12.067819999999999</v>
      </c>
      <c r="P2" s="36">
        <v>13.436809999999999</v>
      </c>
    </row>
    <row r="3" spans="1:16" x14ac:dyDescent="0.45">
      <c r="A3" s="48">
        <v>40183</v>
      </c>
      <c r="B3" s="37">
        <v>17.723970000000001</v>
      </c>
      <c r="C3" s="37">
        <v>44.775419999999997</v>
      </c>
      <c r="D3" s="37">
        <v>13.392099999999999</v>
      </c>
      <c r="E3" s="37">
        <v>39.94</v>
      </c>
      <c r="F3" s="37">
        <v>24.982600000000001</v>
      </c>
      <c r="G3" s="37">
        <v>22.262090000000001</v>
      </c>
      <c r="H3" s="37">
        <v>15.81195</v>
      </c>
      <c r="I3" s="37">
        <v>9.4304699999999997</v>
      </c>
      <c r="J3" s="37">
        <v>51.956099999999999</v>
      </c>
      <c r="K3" s="37">
        <v>28.9725</v>
      </c>
      <c r="L3" s="37">
        <v>8.0811399999999995</v>
      </c>
      <c r="M3" s="37">
        <v>8.0032800000000002</v>
      </c>
      <c r="N3" s="37">
        <v>16.74408</v>
      </c>
      <c r="O3" s="37">
        <v>12.159509999999999</v>
      </c>
      <c r="P3" s="38">
        <v>12.849410000000001</v>
      </c>
    </row>
    <row r="4" spans="1:16" x14ac:dyDescent="0.45">
      <c r="A4" s="48">
        <v>40184</v>
      </c>
      <c r="B4" s="37">
        <v>17.87114</v>
      </c>
      <c r="C4" s="37">
        <v>44.380339999999997</v>
      </c>
      <c r="D4" s="37">
        <v>14.3264</v>
      </c>
      <c r="E4" s="37">
        <v>39.94</v>
      </c>
      <c r="F4" s="37">
        <v>25.055769999999999</v>
      </c>
      <c r="G4" s="37">
        <v>23.81625</v>
      </c>
      <c r="H4" s="37">
        <v>15.559559999999999</v>
      </c>
      <c r="I4" s="37">
        <v>9.5162300000000002</v>
      </c>
      <c r="J4" s="37">
        <v>51.8889</v>
      </c>
      <c r="K4" s="37">
        <v>29.890499999999999</v>
      </c>
      <c r="L4" s="37">
        <v>8.1769599999999993</v>
      </c>
      <c r="M4" s="37">
        <v>8.0193100000000008</v>
      </c>
      <c r="N4" s="37">
        <v>17.107209999999998</v>
      </c>
      <c r="O4" s="37">
        <v>12.312239999999999</v>
      </c>
      <c r="P4" s="38">
        <v>12.996259999999999</v>
      </c>
    </row>
    <row r="5" spans="1:16" x14ac:dyDescent="0.45">
      <c r="A5" s="48">
        <v>40185</v>
      </c>
      <c r="B5" s="37">
        <v>18.607230000000001</v>
      </c>
      <c r="C5" s="37">
        <v>43.19511</v>
      </c>
      <c r="D5" s="37">
        <v>14.3264</v>
      </c>
      <c r="E5" s="37">
        <v>39.85</v>
      </c>
      <c r="F5" s="37">
        <v>24.872879999999999</v>
      </c>
      <c r="G5" s="37">
        <v>23.270160000000001</v>
      </c>
      <c r="H5" s="37">
        <v>15.643660000000001</v>
      </c>
      <c r="I5" s="37">
        <v>9.2589600000000001</v>
      </c>
      <c r="J5" s="37">
        <v>51.082299999999996</v>
      </c>
      <c r="K5" s="37">
        <v>29.4131</v>
      </c>
      <c r="L5" s="37">
        <v>8.0172500000000007</v>
      </c>
      <c r="M5" s="37">
        <v>8.0032800000000002</v>
      </c>
      <c r="N5" s="37">
        <v>16.816659999999999</v>
      </c>
      <c r="O5" s="37">
        <v>12.12895</v>
      </c>
      <c r="P5" s="38">
        <v>12.482279999999999</v>
      </c>
    </row>
    <row r="6" spans="1:16" x14ac:dyDescent="0.45">
      <c r="A6" s="48">
        <v>40186</v>
      </c>
      <c r="B6" s="37">
        <v>18.607230000000001</v>
      </c>
      <c r="C6" s="37">
        <v>43.524340000000002</v>
      </c>
      <c r="D6" s="37">
        <v>14.1707</v>
      </c>
      <c r="E6" s="37">
        <v>39.479999999999997</v>
      </c>
      <c r="F6" s="37">
        <v>25.494720000000001</v>
      </c>
      <c r="G6" s="37">
        <v>24.02628</v>
      </c>
      <c r="H6" s="37">
        <v>16.484719999999999</v>
      </c>
      <c r="I6" s="37">
        <v>9.3447200000000006</v>
      </c>
      <c r="J6" s="37">
        <v>52.695500000000003</v>
      </c>
      <c r="K6" s="37">
        <v>29.56</v>
      </c>
      <c r="L6" s="37">
        <v>8.0491899999999994</v>
      </c>
      <c r="M6" s="37">
        <v>8.0995200000000001</v>
      </c>
      <c r="N6" s="37">
        <v>16.998259999999998</v>
      </c>
      <c r="O6" s="37">
        <v>12.19007</v>
      </c>
      <c r="P6" s="38">
        <v>12.078440000000001</v>
      </c>
    </row>
    <row r="7" spans="1:16" x14ac:dyDescent="0.45">
      <c r="A7" s="48">
        <v>40189</v>
      </c>
      <c r="B7" s="37">
        <v>18.430589999999999</v>
      </c>
      <c r="C7" s="37">
        <v>42.470799999999997</v>
      </c>
      <c r="D7" s="37">
        <v>14.482100000000001</v>
      </c>
      <c r="E7" s="37">
        <v>38.74</v>
      </c>
      <c r="F7" s="37">
        <v>25.823869999999999</v>
      </c>
      <c r="G7" s="37">
        <v>24.740300000000001</v>
      </c>
      <c r="H7" s="37">
        <v>16.863250000000001</v>
      </c>
      <c r="I7" s="37">
        <v>9.4590599999999991</v>
      </c>
      <c r="J7" s="37">
        <v>51.283900000000003</v>
      </c>
      <c r="K7" s="37">
        <v>29.3764</v>
      </c>
      <c r="L7" s="37">
        <v>8.0811399999999995</v>
      </c>
      <c r="M7" s="37">
        <v>8.3401200000000006</v>
      </c>
      <c r="N7" s="37">
        <v>17.03463</v>
      </c>
      <c r="O7" s="37">
        <v>12.067819999999999</v>
      </c>
      <c r="P7" s="38">
        <v>12.115159999999999</v>
      </c>
    </row>
    <row r="8" spans="1:16" x14ac:dyDescent="0.45">
      <c r="A8" s="48">
        <v>40190</v>
      </c>
      <c r="B8" s="37">
        <v>18.371659999999999</v>
      </c>
      <c r="C8" s="37">
        <v>42.273260000000001</v>
      </c>
      <c r="D8" s="37">
        <v>14.2875</v>
      </c>
      <c r="E8" s="37">
        <v>38.090000000000003</v>
      </c>
      <c r="F8" s="37">
        <v>25.750779999999999</v>
      </c>
      <c r="G8" s="37">
        <v>24.656279999999999</v>
      </c>
      <c r="H8" s="37">
        <v>16.737010000000001</v>
      </c>
      <c r="I8" s="37">
        <v>9.2875499999999995</v>
      </c>
      <c r="J8" s="37">
        <v>51.283900000000003</v>
      </c>
      <c r="K8" s="37">
        <v>29.192799999999998</v>
      </c>
      <c r="L8" s="37">
        <v>7.9533699999999996</v>
      </c>
      <c r="M8" s="37">
        <v>8.2197800000000001</v>
      </c>
      <c r="N8" s="37">
        <v>17.070920000000001</v>
      </c>
      <c r="O8" s="37">
        <v>11.915089999999999</v>
      </c>
      <c r="P8" s="38">
        <v>12.335430000000001</v>
      </c>
    </row>
    <row r="9" spans="1:16" x14ac:dyDescent="0.45">
      <c r="A9" s="48">
        <v>40191</v>
      </c>
      <c r="B9" s="37">
        <v>17.841750000000001</v>
      </c>
      <c r="C9" s="37">
        <v>41.219720000000002</v>
      </c>
      <c r="D9" s="37">
        <v>13.898199999999999</v>
      </c>
      <c r="E9" s="37">
        <v>38.74</v>
      </c>
      <c r="F9" s="37">
        <v>25.12894</v>
      </c>
      <c r="G9" s="37">
        <v>24.1523</v>
      </c>
      <c r="H9" s="37">
        <v>16.064240000000002</v>
      </c>
      <c r="I9" s="37">
        <v>9.6019000000000005</v>
      </c>
      <c r="J9" s="37">
        <v>50.813499999999998</v>
      </c>
      <c r="K9" s="37">
        <v>28.495100000000001</v>
      </c>
      <c r="L9" s="37">
        <v>7.79366</v>
      </c>
      <c r="M9" s="37">
        <v>8.0995200000000001</v>
      </c>
      <c r="N9" s="37">
        <v>16.63505</v>
      </c>
      <c r="O9" s="37">
        <v>11.762280000000001</v>
      </c>
      <c r="P9" s="38">
        <v>12.482279999999999</v>
      </c>
    </row>
    <row r="10" spans="1:16" x14ac:dyDescent="0.45">
      <c r="A10" s="48">
        <v>40192</v>
      </c>
      <c r="B10" s="37">
        <v>18.07724</v>
      </c>
      <c r="C10" s="37">
        <v>41.219720000000002</v>
      </c>
      <c r="D10" s="37">
        <v>13.976000000000001</v>
      </c>
      <c r="E10" s="37">
        <v>38.64</v>
      </c>
      <c r="F10" s="37">
        <v>25.53126</v>
      </c>
      <c r="G10" s="37">
        <v>24.320329999999998</v>
      </c>
      <c r="H10" s="37">
        <v>16.484719999999999</v>
      </c>
      <c r="I10" s="37">
        <v>9.7162400000000009</v>
      </c>
      <c r="J10" s="37">
        <v>50.813499999999998</v>
      </c>
      <c r="K10" s="37">
        <v>28.6052</v>
      </c>
      <c r="L10" s="37">
        <v>7.8255999999999997</v>
      </c>
      <c r="M10" s="37">
        <v>8.0995200000000001</v>
      </c>
      <c r="N10" s="37">
        <v>16.707709999999999</v>
      </c>
      <c r="O10" s="37">
        <v>11.762280000000001</v>
      </c>
      <c r="P10" s="38">
        <v>13.32667</v>
      </c>
    </row>
    <row r="11" spans="1:16" x14ac:dyDescent="0.45">
      <c r="A11" s="48">
        <v>40193</v>
      </c>
      <c r="B11" s="37">
        <v>17.87114</v>
      </c>
      <c r="C11" s="37">
        <v>41.483110000000003</v>
      </c>
      <c r="D11" s="37">
        <v>14.014900000000001</v>
      </c>
      <c r="E11" s="37">
        <v>39.020000000000003</v>
      </c>
      <c r="F11" s="37">
        <v>25.42154</v>
      </c>
      <c r="G11" s="37">
        <v>25.03434</v>
      </c>
      <c r="H11" s="37">
        <v>16.610859999999999</v>
      </c>
      <c r="I11" s="37">
        <v>9.5162300000000002</v>
      </c>
      <c r="J11" s="37">
        <v>50.746200000000002</v>
      </c>
      <c r="K11" s="37">
        <v>28.788900000000002</v>
      </c>
      <c r="L11" s="37">
        <v>7.9853100000000001</v>
      </c>
      <c r="M11" s="37">
        <v>8.1396099999999993</v>
      </c>
      <c r="N11" s="37">
        <v>16.889320000000001</v>
      </c>
      <c r="O11" s="37">
        <v>11.823399999999999</v>
      </c>
      <c r="P11" s="38">
        <v>13.58366</v>
      </c>
    </row>
    <row r="12" spans="1:16" x14ac:dyDescent="0.45">
      <c r="A12" s="48">
        <v>40196</v>
      </c>
      <c r="B12" s="37">
        <v>17.576720000000002</v>
      </c>
      <c r="C12" s="37">
        <v>42.273260000000001</v>
      </c>
      <c r="D12" s="37">
        <v>13.898199999999999</v>
      </c>
      <c r="E12" s="37">
        <v>38.090000000000003</v>
      </c>
      <c r="F12" s="37">
        <v>25.165479999999999</v>
      </c>
      <c r="G12" s="37">
        <v>25.790459999999999</v>
      </c>
      <c r="H12" s="37">
        <v>16.232430000000001</v>
      </c>
      <c r="I12" s="37">
        <v>9.9448399999999992</v>
      </c>
      <c r="J12" s="37">
        <v>50.947899999999997</v>
      </c>
      <c r="K12" s="37">
        <v>28.715399999999999</v>
      </c>
      <c r="L12" s="37">
        <v>7.8255999999999997</v>
      </c>
      <c r="M12" s="37">
        <v>8.0995200000000001</v>
      </c>
      <c r="N12" s="37">
        <v>16.63505</v>
      </c>
      <c r="O12" s="37">
        <v>11.823399999999999</v>
      </c>
      <c r="P12" s="38">
        <v>13.363390000000001</v>
      </c>
    </row>
    <row r="13" spans="1:16" x14ac:dyDescent="0.45">
      <c r="A13" s="48">
        <v>40197</v>
      </c>
      <c r="B13" s="37">
        <v>17.517869999999998</v>
      </c>
      <c r="C13" s="37">
        <v>41.088030000000003</v>
      </c>
      <c r="D13" s="37">
        <v>13.6646</v>
      </c>
      <c r="E13" s="37">
        <v>37.619999999999997</v>
      </c>
      <c r="F13" s="37">
        <v>24.982600000000001</v>
      </c>
      <c r="G13" s="37">
        <v>24.866320000000002</v>
      </c>
      <c r="H13" s="37">
        <v>15.98014</v>
      </c>
      <c r="I13" s="37">
        <v>9.5733099999999993</v>
      </c>
      <c r="J13" s="37">
        <v>50.074100000000001</v>
      </c>
      <c r="K13" s="37">
        <v>28.6052</v>
      </c>
      <c r="L13" s="37">
        <v>7.6658999999999997</v>
      </c>
      <c r="M13" s="37">
        <v>8.0193100000000008</v>
      </c>
      <c r="N13" s="37">
        <v>16.453440000000001</v>
      </c>
      <c r="O13" s="37">
        <v>11.73171</v>
      </c>
      <c r="P13" s="38">
        <v>13.803940000000001</v>
      </c>
    </row>
    <row r="14" spans="1:16" x14ac:dyDescent="0.45">
      <c r="A14" s="48">
        <v>40198</v>
      </c>
      <c r="B14" s="37">
        <v>17.01735</v>
      </c>
      <c r="C14" s="37">
        <v>40.49541</v>
      </c>
      <c r="D14" s="37">
        <v>14.0928</v>
      </c>
      <c r="E14" s="37">
        <v>37.619999999999997</v>
      </c>
      <c r="F14" s="37">
        <v>25.019220000000001</v>
      </c>
      <c r="G14" s="37">
        <v>24.23631</v>
      </c>
      <c r="H14" s="37">
        <v>16.568809999999999</v>
      </c>
      <c r="I14" s="37">
        <v>9.4018899999999999</v>
      </c>
      <c r="J14" s="37">
        <v>49.6036</v>
      </c>
      <c r="K14" s="37">
        <v>28.1279</v>
      </c>
      <c r="L14" s="37">
        <v>7.4742499999999996</v>
      </c>
      <c r="M14" s="37">
        <v>7.85893</v>
      </c>
      <c r="N14" s="37">
        <v>15.98128</v>
      </c>
      <c r="O14" s="37">
        <v>11.64011</v>
      </c>
      <c r="P14" s="38">
        <v>14.758459999999999</v>
      </c>
    </row>
    <row r="15" spans="1:16" x14ac:dyDescent="0.45">
      <c r="A15" s="48">
        <v>40199</v>
      </c>
      <c r="B15" s="37">
        <v>16.575759999999999</v>
      </c>
      <c r="C15" s="37">
        <v>40.166179999999997</v>
      </c>
      <c r="D15" s="37">
        <v>14.014900000000001</v>
      </c>
      <c r="E15" s="37">
        <v>37.76</v>
      </c>
      <c r="F15" s="37">
        <v>24.872879999999999</v>
      </c>
      <c r="G15" s="37">
        <v>23.984269999999999</v>
      </c>
      <c r="H15" s="37">
        <v>16.610859999999999</v>
      </c>
      <c r="I15" s="37">
        <v>9.2304600000000008</v>
      </c>
      <c r="J15" s="37">
        <v>49.200299999999999</v>
      </c>
      <c r="K15" s="37">
        <v>28.1279</v>
      </c>
      <c r="L15" s="37">
        <v>7.4742499999999996</v>
      </c>
      <c r="M15" s="37">
        <v>7.7707199999999998</v>
      </c>
      <c r="N15" s="37">
        <v>15.618069999999999</v>
      </c>
      <c r="O15" s="37">
        <v>11.64011</v>
      </c>
      <c r="P15" s="38">
        <v>14.53819</v>
      </c>
    </row>
    <row r="16" spans="1:16" x14ac:dyDescent="0.45">
      <c r="A16" s="48">
        <v>40200</v>
      </c>
      <c r="B16" s="37">
        <v>15.957459999999999</v>
      </c>
      <c r="C16" s="37">
        <v>39.705260000000003</v>
      </c>
      <c r="D16" s="37">
        <v>13.7814</v>
      </c>
      <c r="E16" s="37">
        <v>36.14</v>
      </c>
      <c r="F16" s="37">
        <v>24.104780000000002</v>
      </c>
      <c r="G16" s="37">
        <v>22.892189999999999</v>
      </c>
      <c r="H16" s="37">
        <v>16.022189999999998</v>
      </c>
      <c r="I16" s="37">
        <v>9.2589600000000001</v>
      </c>
      <c r="J16" s="37">
        <v>47.721600000000002</v>
      </c>
      <c r="K16" s="37">
        <v>27.3934</v>
      </c>
      <c r="L16" s="37">
        <v>7.2506599999999999</v>
      </c>
      <c r="M16" s="37">
        <v>7.4820200000000003</v>
      </c>
      <c r="N16" s="37">
        <v>15.21857</v>
      </c>
      <c r="O16" s="37">
        <v>11.334569999999999</v>
      </c>
      <c r="P16" s="38">
        <v>15.52943</v>
      </c>
    </row>
    <row r="17" spans="1:16" x14ac:dyDescent="0.45">
      <c r="A17" s="48">
        <v>40203</v>
      </c>
      <c r="B17" s="37">
        <v>16.045780000000001</v>
      </c>
      <c r="C17" s="37">
        <v>38.915100000000002</v>
      </c>
      <c r="D17" s="37">
        <v>13.547800000000001</v>
      </c>
      <c r="E17" s="37">
        <v>34.880000000000003</v>
      </c>
      <c r="F17" s="37">
        <v>23.629200000000001</v>
      </c>
      <c r="G17" s="37">
        <v>22.556139999999999</v>
      </c>
      <c r="H17" s="37">
        <v>15.559559999999999</v>
      </c>
      <c r="I17" s="37">
        <v>9.0875400000000006</v>
      </c>
      <c r="J17" s="37">
        <v>46.7134</v>
      </c>
      <c r="K17" s="37">
        <v>27.32</v>
      </c>
      <c r="L17" s="37">
        <v>7.0590200000000003</v>
      </c>
      <c r="M17" s="37">
        <v>7.3216400000000004</v>
      </c>
      <c r="N17" s="37">
        <v>15.10962</v>
      </c>
      <c r="O17" s="37">
        <v>11.181839999999999</v>
      </c>
      <c r="P17" s="38">
        <v>16.594090000000001</v>
      </c>
    </row>
    <row r="18" spans="1:16" x14ac:dyDescent="0.45">
      <c r="A18" s="48">
        <v>40204</v>
      </c>
      <c r="B18" s="37">
        <v>15.574719999999999</v>
      </c>
      <c r="C18" s="37">
        <v>36.4788</v>
      </c>
      <c r="D18" s="37">
        <v>12.847</v>
      </c>
      <c r="E18" s="37">
        <v>33.26</v>
      </c>
      <c r="F18" s="37">
        <v>23.409770000000002</v>
      </c>
      <c r="G18" s="37">
        <v>21.884029999999999</v>
      </c>
      <c r="H18" s="37">
        <v>14.84465</v>
      </c>
      <c r="I18" s="37">
        <v>8.4874200000000002</v>
      </c>
      <c r="J18" s="37">
        <v>44.629800000000003</v>
      </c>
      <c r="K18" s="37">
        <v>26.585599999999999</v>
      </c>
      <c r="L18" s="37">
        <v>6.7715399999999999</v>
      </c>
      <c r="M18" s="37">
        <v>7.0970899999999997</v>
      </c>
      <c r="N18" s="37">
        <v>14.601089999999999</v>
      </c>
      <c r="O18" s="37">
        <v>10.876289999999999</v>
      </c>
      <c r="P18" s="38">
        <v>15.456</v>
      </c>
    </row>
    <row r="19" spans="1:16" x14ac:dyDescent="0.45">
      <c r="A19" s="48">
        <v>40205</v>
      </c>
      <c r="B19" s="37">
        <v>15.015269999999999</v>
      </c>
      <c r="C19" s="37">
        <v>36.4788</v>
      </c>
      <c r="D19" s="37">
        <v>12.7692</v>
      </c>
      <c r="E19" s="37">
        <v>31.58</v>
      </c>
      <c r="F19" s="37">
        <v>23.55611</v>
      </c>
      <c r="G19" s="37">
        <v>21.716010000000001</v>
      </c>
      <c r="H19" s="37">
        <v>15.05498</v>
      </c>
      <c r="I19" s="37">
        <v>8.516</v>
      </c>
      <c r="J19" s="37">
        <v>44.562600000000003</v>
      </c>
      <c r="K19" s="37">
        <v>26.805900000000001</v>
      </c>
      <c r="L19" s="37">
        <v>6.6437799999999996</v>
      </c>
      <c r="M19" s="37">
        <v>7.1211500000000001</v>
      </c>
      <c r="N19" s="37">
        <v>14.52843</v>
      </c>
      <c r="O19" s="37">
        <v>10.967980000000001</v>
      </c>
      <c r="P19" s="38">
        <v>14.39134</v>
      </c>
    </row>
    <row r="20" spans="1:16" x14ac:dyDescent="0.45">
      <c r="A20" s="48">
        <v>40206</v>
      </c>
      <c r="B20" s="37">
        <v>15.574719999999999</v>
      </c>
      <c r="C20" s="37">
        <v>37.861559999999997</v>
      </c>
      <c r="D20" s="37">
        <v>12.847</v>
      </c>
      <c r="E20" s="37">
        <v>32.42</v>
      </c>
      <c r="F20" s="37">
        <v>23.885259999999999</v>
      </c>
      <c r="G20" s="37">
        <v>22.01005</v>
      </c>
      <c r="H20" s="37">
        <v>15.13908</v>
      </c>
      <c r="I20" s="37">
        <v>8.8875200000000003</v>
      </c>
      <c r="J20" s="37">
        <v>45.839700000000001</v>
      </c>
      <c r="K20" s="37">
        <v>27.430199999999999</v>
      </c>
      <c r="L20" s="37">
        <v>6.7715399999999999</v>
      </c>
      <c r="M20" s="37">
        <v>7.2253999999999996</v>
      </c>
      <c r="N20" s="37">
        <v>14.746409999999999</v>
      </c>
      <c r="O20" s="37">
        <v>10.99855</v>
      </c>
      <c r="P20" s="38">
        <v>14.428050000000001</v>
      </c>
    </row>
    <row r="21" spans="1:16" x14ac:dyDescent="0.45">
      <c r="A21" s="48">
        <v>40207</v>
      </c>
      <c r="B21" s="37">
        <v>14.95642</v>
      </c>
      <c r="C21" s="37">
        <v>37.137259999999998</v>
      </c>
      <c r="D21" s="37">
        <v>12.496700000000001</v>
      </c>
      <c r="E21" s="37">
        <v>31.77</v>
      </c>
      <c r="F21" s="37">
        <v>23.775549999999999</v>
      </c>
      <c r="G21" s="37">
        <v>22.47213</v>
      </c>
      <c r="H21" s="37">
        <v>15.559559999999999</v>
      </c>
      <c r="I21" s="37">
        <v>8.7160100000000007</v>
      </c>
      <c r="J21" s="37">
        <v>45.705199999999998</v>
      </c>
      <c r="K21" s="37">
        <v>27.466899999999999</v>
      </c>
      <c r="L21" s="37">
        <v>6.7396000000000003</v>
      </c>
      <c r="M21" s="37">
        <v>7.1211500000000001</v>
      </c>
      <c r="N21" s="37">
        <v>14.818989999999999</v>
      </c>
      <c r="O21" s="37">
        <v>10.937419999999999</v>
      </c>
      <c r="P21" s="38">
        <v>13.436809999999999</v>
      </c>
    </row>
    <row r="22" spans="1:16" x14ac:dyDescent="0.45">
      <c r="A22" s="48">
        <v>40210</v>
      </c>
      <c r="B22" s="37">
        <v>14.36758</v>
      </c>
      <c r="C22" s="37">
        <v>35.886180000000003</v>
      </c>
      <c r="D22" s="37">
        <v>12.0684</v>
      </c>
      <c r="E22" s="37">
        <v>31.49</v>
      </c>
      <c r="F22" s="37">
        <v>23.336600000000001</v>
      </c>
      <c r="G22" s="37">
        <v>23.312159999999999</v>
      </c>
      <c r="H22" s="37">
        <v>15.349320000000001</v>
      </c>
      <c r="I22" s="37">
        <v>8.6874300000000009</v>
      </c>
      <c r="J22" s="37">
        <v>45.100299999999997</v>
      </c>
      <c r="K22" s="37">
        <v>27.209900000000001</v>
      </c>
      <c r="L22" s="37">
        <v>6.7396000000000003</v>
      </c>
      <c r="M22" s="37">
        <v>6.9607599999999996</v>
      </c>
      <c r="N22" s="37">
        <v>13.947319999999999</v>
      </c>
      <c r="O22" s="37">
        <v>10.784689999999999</v>
      </c>
      <c r="P22" s="38">
        <v>13.51023</v>
      </c>
    </row>
    <row r="23" spans="1:16" x14ac:dyDescent="0.45">
      <c r="A23" s="48">
        <v>40211</v>
      </c>
      <c r="B23" s="37">
        <v>14.161479999999999</v>
      </c>
      <c r="C23" s="37">
        <v>34.108330000000002</v>
      </c>
      <c r="D23" s="37">
        <v>12.1463</v>
      </c>
      <c r="E23" s="37">
        <v>29.73</v>
      </c>
      <c r="F23" s="37">
        <v>22.934270000000001</v>
      </c>
      <c r="G23" s="37">
        <v>23.14414</v>
      </c>
      <c r="H23" s="37">
        <v>15.349320000000001</v>
      </c>
      <c r="I23" s="37">
        <v>8.0873100000000004</v>
      </c>
      <c r="J23" s="37">
        <v>44.226500000000001</v>
      </c>
      <c r="K23" s="37">
        <v>26.5489</v>
      </c>
      <c r="L23" s="37">
        <v>6.6437799999999996</v>
      </c>
      <c r="M23" s="37">
        <v>6.8966099999999999</v>
      </c>
      <c r="N23" s="37">
        <v>13.72935</v>
      </c>
      <c r="O23" s="37">
        <v>10.54027</v>
      </c>
      <c r="P23" s="38">
        <v>14.428050000000001</v>
      </c>
    </row>
    <row r="24" spans="1:16" x14ac:dyDescent="0.45">
      <c r="A24" s="48">
        <v>40212</v>
      </c>
      <c r="B24" s="37">
        <v>15.133050000000001</v>
      </c>
      <c r="C24" s="37">
        <v>33.581560000000003</v>
      </c>
      <c r="D24" s="37">
        <v>12.963800000000001</v>
      </c>
      <c r="E24" s="37">
        <v>30.1</v>
      </c>
      <c r="F24" s="37">
        <v>23.409770000000002</v>
      </c>
      <c r="G24" s="37">
        <v>22.934200000000001</v>
      </c>
      <c r="H24" s="37">
        <v>15.307270000000001</v>
      </c>
      <c r="I24" s="37">
        <v>7.7158300000000004</v>
      </c>
      <c r="J24" s="37">
        <v>44.697000000000003</v>
      </c>
      <c r="K24" s="37">
        <v>26.4754</v>
      </c>
      <c r="L24" s="37">
        <v>6.7715399999999999</v>
      </c>
      <c r="M24" s="37">
        <v>7.0008600000000003</v>
      </c>
      <c r="N24" s="37">
        <v>14.455769999999999</v>
      </c>
      <c r="O24" s="37">
        <v>10.693</v>
      </c>
      <c r="P24" s="38">
        <v>14.428050000000001</v>
      </c>
    </row>
    <row r="25" spans="1:16" x14ac:dyDescent="0.45">
      <c r="A25" s="48">
        <v>40213</v>
      </c>
      <c r="B25" s="37">
        <v>15.515790000000001</v>
      </c>
      <c r="C25" s="37">
        <v>33.252330000000001</v>
      </c>
      <c r="D25" s="37">
        <v>12.847</v>
      </c>
      <c r="E25" s="37">
        <v>30.61</v>
      </c>
      <c r="F25" s="37">
        <v>23.55611</v>
      </c>
      <c r="G25" s="37">
        <v>22.892189999999999</v>
      </c>
      <c r="H25" s="37">
        <v>14.928739999999999</v>
      </c>
      <c r="I25" s="37">
        <v>7.8015699999999999</v>
      </c>
      <c r="J25" s="37">
        <v>44.293799999999997</v>
      </c>
      <c r="K25" s="37">
        <v>26.255099999999999</v>
      </c>
      <c r="L25" s="37">
        <v>6.6118399999999999</v>
      </c>
      <c r="M25" s="37">
        <v>7.0249199999999998</v>
      </c>
      <c r="N25" s="37">
        <v>14.601089999999999</v>
      </c>
      <c r="O25" s="37">
        <v>10.50971</v>
      </c>
      <c r="P25" s="38">
        <v>14.428050000000001</v>
      </c>
    </row>
    <row r="26" spans="1:16" x14ac:dyDescent="0.45">
      <c r="A26" s="48">
        <v>40214</v>
      </c>
      <c r="B26" s="37">
        <v>15.162520000000001</v>
      </c>
      <c r="C26" s="37">
        <v>30.947710000000001</v>
      </c>
      <c r="D26" s="37">
        <v>12.2241</v>
      </c>
      <c r="E26" s="37">
        <v>28.47</v>
      </c>
      <c r="F26" s="37">
        <v>22.97082</v>
      </c>
      <c r="G26" s="37">
        <v>21.296040000000001</v>
      </c>
      <c r="H26" s="37">
        <v>13.961539999999999</v>
      </c>
      <c r="I26" s="37">
        <v>7.2871699999999997</v>
      </c>
      <c r="J26" s="37">
        <v>41.201900000000002</v>
      </c>
      <c r="K26" s="37">
        <v>24.602699999999999</v>
      </c>
      <c r="L26" s="37">
        <v>6.2285500000000003</v>
      </c>
      <c r="M26" s="37">
        <v>6.5758400000000004</v>
      </c>
      <c r="N26" s="37">
        <v>13.91104</v>
      </c>
      <c r="O26" s="37">
        <v>9.9597499999999997</v>
      </c>
      <c r="P26" s="38">
        <v>13.436809999999999</v>
      </c>
    </row>
    <row r="27" spans="1:16" x14ac:dyDescent="0.45">
      <c r="A27" s="48">
        <v>40217</v>
      </c>
      <c r="B27" s="37">
        <v>15.60411</v>
      </c>
      <c r="C27" s="37">
        <v>30.289249999999999</v>
      </c>
      <c r="D27" s="37">
        <v>12.457700000000001</v>
      </c>
      <c r="E27" s="37">
        <v>27.5</v>
      </c>
      <c r="F27" s="37">
        <v>23.226880000000001</v>
      </c>
      <c r="G27" s="37">
        <v>20.875969999999999</v>
      </c>
      <c r="H27" s="37">
        <v>14.50826</v>
      </c>
      <c r="I27" s="37">
        <v>7.17286</v>
      </c>
      <c r="J27" s="37">
        <v>40.1265</v>
      </c>
      <c r="K27" s="37">
        <v>24.0886</v>
      </c>
      <c r="L27" s="37">
        <v>6.1327199999999999</v>
      </c>
      <c r="M27" s="37">
        <v>6.8083999999999998</v>
      </c>
      <c r="N27" s="37">
        <v>13.65677</v>
      </c>
      <c r="O27" s="37">
        <v>10.082000000000001</v>
      </c>
      <c r="P27" s="38">
        <v>12.335430000000001</v>
      </c>
    </row>
    <row r="28" spans="1:16" x14ac:dyDescent="0.45">
      <c r="A28" s="48">
        <v>40218</v>
      </c>
      <c r="B28" s="37">
        <v>15.574719999999999</v>
      </c>
      <c r="C28" s="37">
        <v>31.803709999999999</v>
      </c>
      <c r="D28" s="37">
        <v>12.6524</v>
      </c>
      <c r="E28" s="37">
        <v>29.4</v>
      </c>
      <c r="F28" s="37">
        <v>23.37322</v>
      </c>
      <c r="G28" s="37">
        <v>21.758009999999999</v>
      </c>
      <c r="H28" s="37">
        <v>14.592359999999999</v>
      </c>
      <c r="I28" s="37">
        <v>7.6586800000000004</v>
      </c>
      <c r="J28" s="37">
        <v>42.478999999999999</v>
      </c>
      <c r="K28" s="37">
        <v>24.8965</v>
      </c>
      <c r="L28" s="37">
        <v>6.4201899999999998</v>
      </c>
      <c r="M28" s="37">
        <v>6.9126500000000002</v>
      </c>
      <c r="N28" s="37">
        <v>13.76572</v>
      </c>
      <c r="O28" s="37">
        <v>10.1736</v>
      </c>
      <c r="P28" s="38">
        <v>12.775980000000001</v>
      </c>
    </row>
    <row r="29" spans="1:16" x14ac:dyDescent="0.45">
      <c r="A29" s="48">
        <v>40219</v>
      </c>
      <c r="B29" s="37">
        <v>15.89861</v>
      </c>
      <c r="C29" s="37">
        <v>31.935410000000001</v>
      </c>
      <c r="D29" s="37">
        <v>12.6524</v>
      </c>
      <c r="E29" s="37">
        <v>31.44</v>
      </c>
      <c r="F29" s="37">
        <v>23.95843</v>
      </c>
      <c r="G29" s="37">
        <v>22.556139999999999</v>
      </c>
      <c r="H29" s="37">
        <v>14.55031</v>
      </c>
      <c r="I29" s="37">
        <v>7.8301400000000001</v>
      </c>
      <c r="J29" s="37">
        <v>42.882199999999997</v>
      </c>
      <c r="K29" s="37">
        <v>25.447299999999998</v>
      </c>
      <c r="L29" s="37">
        <v>6.4521300000000004</v>
      </c>
      <c r="M29" s="37">
        <v>6.8324499999999997</v>
      </c>
      <c r="N29" s="37">
        <v>13.983610000000001</v>
      </c>
      <c r="O29" s="37">
        <v>10.20417</v>
      </c>
      <c r="P29" s="38">
        <v>13.289960000000001</v>
      </c>
    </row>
    <row r="30" spans="1:16" x14ac:dyDescent="0.45">
      <c r="A30" s="48">
        <v>40220</v>
      </c>
      <c r="B30" s="37">
        <v>15.89861</v>
      </c>
      <c r="C30" s="37">
        <v>31.935410000000001</v>
      </c>
      <c r="D30" s="37">
        <v>12.6524</v>
      </c>
      <c r="E30" s="37">
        <v>31.44</v>
      </c>
      <c r="F30" s="37">
        <v>23.95843</v>
      </c>
      <c r="G30" s="37">
        <v>22.556139999999999</v>
      </c>
      <c r="H30" s="37">
        <v>14.55031</v>
      </c>
      <c r="I30" s="37">
        <v>8.1433499999999999</v>
      </c>
      <c r="J30" s="37">
        <v>42.882199999999997</v>
      </c>
      <c r="K30" s="37">
        <v>25.447299999999998</v>
      </c>
      <c r="L30" s="37">
        <v>6.4521300000000004</v>
      </c>
      <c r="M30" s="37">
        <v>6.8324499999999997</v>
      </c>
      <c r="N30" s="37">
        <v>13.983610000000001</v>
      </c>
      <c r="O30" s="37">
        <v>10.20417</v>
      </c>
      <c r="P30" s="38">
        <v>13.289960000000001</v>
      </c>
    </row>
    <row r="31" spans="1:16" x14ac:dyDescent="0.45">
      <c r="A31" s="48">
        <v>40221</v>
      </c>
      <c r="B31" s="37">
        <v>15.89861</v>
      </c>
      <c r="C31" s="37">
        <v>31.935410000000001</v>
      </c>
      <c r="D31" s="37">
        <v>12.6524</v>
      </c>
      <c r="E31" s="37">
        <v>31.44</v>
      </c>
      <c r="F31" s="37">
        <v>23.95843</v>
      </c>
      <c r="G31" s="37">
        <v>22.556139999999999</v>
      </c>
      <c r="H31" s="37">
        <v>14.55031</v>
      </c>
      <c r="I31" s="37">
        <v>8.1433499999999999</v>
      </c>
      <c r="J31" s="37">
        <v>42.882199999999997</v>
      </c>
      <c r="K31" s="37">
        <v>25.447299999999998</v>
      </c>
      <c r="L31" s="37">
        <v>6.4521300000000004</v>
      </c>
      <c r="M31" s="37">
        <v>6.8324499999999997</v>
      </c>
      <c r="N31" s="37">
        <v>13.983610000000001</v>
      </c>
      <c r="O31" s="37">
        <v>10.20417</v>
      </c>
      <c r="P31" s="38">
        <v>13.289960000000001</v>
      </c>
    </row>
    <row r="32" spans="1:16" x14ac:dyDescent="0.45">
      <c r="A32" s="48">
        <v>40224</v>
      </c>
      <c r="B32" s="37">
        <v>15.89861</v>
      </c>
      <c r="C32" s="37">
        <v>31.935410000000001</v>
      </c>
      <c r="D32" s="37">
        <v>12.6524</v>
      </c>
      <c r="E32" s="37">
        <v>31.44</v>
      </c>
      <c r="F32" s="37">
        <v>23.95843</v>
      </c>
      <c r="G32" s="37">
        <v>22.556139999999999</v>
      </c>
      <c r="H32" s="37">
        <v>14.55031</v>
      </c>
      <c r="I32" s="37">
        <v>8.1433499999999999</v>
      </c>
      <c r="J32" s="37">
        <v>42.882199999999997</v>
      </c>
      <c r="K32" s="37">
        <v>25.447299999999998</v>
      </c>
      <c r="L32" s="37">
        <v>6.4521300000000004</v>
      </c>
      <c r="M32" s="37">
        <v>6.8324499999999997</v>
      </c>
      <c r="N32" s="37">
        <v>13.983610000000001</v>
      </c>
      <c r="O32" s="37">
        <v>10.20417</v>
      </c>
      <c r="P32" s="38">
        <v>13.289960000000001</v>
      </c>
    </row>
    <row r="33" spans="1:16" x14ac:dyDescent="0.45">
      <c r="A33" s="48">
        <v>40225</v>
      </c>
      <c r="B33" s="37">
        <v>15.89861</v>
      </c>
      <c r="C33" s="37">
        <v>31.935410000000001</v>
      </c>
      <c r="D33" s="37">
        <v>12.6524</v>
      </c>
      <c r="E33" s="37">
        <v>31.44</v>
      </c>
      <c r="F33" s="37">
        <v>23.95843</v>
      </c>
      <c r="G33" s="37">
        <v>22.556139999999999</v>
      </c>
      <c r="H33" s="37">
        <v>14.55031</v>
      </c>
      <c r="I33" s="37">
        <v>8.1433499999999999</v>
      </c>
      <c r="J33" s="37">
        <v>42.882199999999997</v>
      </c>
      <c r="K33" s="37">
        <v>25.447299999999998</v>
      </c>
      <c r="L33" s="37">
        <v>6.4521300000000004</v>
      </c>
      <c r="M33" s="37">
        <v>6.8324499999999997</v>
      </c>
      <c r="N33" s="37">
        <v>13.983610000000001</v>
      </c>
      <c r="O33" s="37">
        <v>10.20417</v>
      </c>
      <c r="P33" s="38">
        <v>13.289960000000001</v>
      </c>
    </row>
    <row r="34" spans="1:16" x14ac:dyDescent="0.45">
      <c r="A34" s="48">
        <v>40226</v>
      </c>
      <c r="B34" s="37">
        <v>15.89861</v>
      </c>
      <c r="C34" s="37">
        <v>31.935410000000001</v>
      </c>
      <c r="D34" s="37">
        <v>12.6524</v>
      </c>
      <c r="E34" s="37">
        <v>31.44</v>
      </c>
      <c r="F34" s="37">
        <v>23.95843</v>
      </c>
      <c r="G34" s="37">
        <v>22.556139999999999</v>
      </c>
      <c r="H34" s="37">
        <v>14.55031</v>
      </c>
      <c r="I34" s="37">
        <v>8.1433499999999999</v>
      </c>
      <c r="J34" s="37">
        <v>42.882199999999997</v>
      </c>
      <c r="K34" s="37">
        <v>25.447299999999998</v>
      </c>
      <c r="L34" s="37">
        <v>6.4521300000000004</v>
      </c>
      <c r="M34" s="37">
        <v>6.8324499999999997</v>
      </c>
      <c r="N34" s="37">
        <v>13.983610000000001</v>
      </c>
      <c r="O34" s="37">
        <v>10.20417</v>
      </c>
      <c r="P34" s="38">
        <v>13.289960000000001</v>
      </c>
    </row>
    <row r="35" spans="1:16" x14ac:dyDescent="0.45">
      <c r="A35" s="48">
        <v>40227</v>
      </c>
      <c r="B35" s="37">
        <v>15.89861</v>
      </c>
      <c r="C35" s="37">
        <v>31.935410000000001</v>
      </c>
      <c r="D35" s="37">
        <v>12.6524</v>
      </c>
      <c r="E35" s="37">
        <v>31.44</v>
      </c>
      <c r="F35" s="37">
        <v>23.95843</v>
      </c>
      <c r="G35" s="37">
        <v>22.556139999999999</v>
      </c>
      <c r="H35" s="37">
        <v>14.55031</v>
      </c>
      <c r="I35" s="37">
        <v>8.1433499999999999</v>
      </c>
      <c r="J35" s="37">
        <v>42.882199999999997</v>
      </c>
      <c r="K35" s="37">
        <v>25.447299999999998</v>
      </c>
      <c r="L35" s="37">
        <v>6.4521300000000004</v>
      </c>
      <c r="M35" s="37">
        <v>6.8324499999999997</v>
      </c>
      <c r="N35" s="37">
        <v>13.983610000000001</v>
      </c>
      <c r="O35" s="37">
        <v>10.20417</v>
      </c>
      <c r="P35" s="38">
        <v>13.289960000000001</v>
      </c>
    </row>
    <row r="36" spans="1:16" x14ac:dyDescent="0.45">
      <c r="A36" s="48">
        <v>40228</v>
      </c>
      <c r="B36" s="37">
        <v>15.89861</v>
      </c>
      <c r="C36" s="37">
        <v>31.935410000000001</v>
      </c>
      <c r="D36" s="37">
        <v>12.6524</v>
      </c>
      <c r="E36" s="37">
        <v>31.44</v>
      </c>
      <c r="F36" s="37">
        <v>23.95843</v>
      </c>
      <c r="G36" s="37">
        <v>22.556139999999999</v>
      </c>
      <c r="H36" s="37">
        <v>14.55031</v>
      </c>
      <c r="I36" s="37">
        <v>8.1433499999999999</v>
      </c>
      <c r="J36" s="37">
        <v>42.882199999999997</v>
      </c>
      <c r="K36" s="37">
        <v>25.447299999999998</v>
      </c>
      <c r="L36" s="37">
        <v>6.4521300000000004</v>
      </c>
      <c r="M36" s="37">
        <v>6.8324499999999997</v>
      </c>
      <c r="N36" s="37">
        <v>13.983610000000001</v>
      </c>
      <c r="O36" s="37">
        <v>10.20417</v>
      </c>
      <c r="P36" s="38">
        <v>13.289960000000001</v>
      </c>
    </row>
    <row r="37" spans="1:16" x14ac:dyDescent="0.45">
      <c r="A37" s="48">
        <v>40231</v>
      </c>
      <c r="B37" s="37">
        <v>16.457979999999999</v>
      </c>
      <c r="C37" s="37">
        <v>32.100020000000001</v>
      </c>
      <c r="D37" s="37">
        <v>12.924899999999999</v>
      </c>
      <c r="E37" s="37">
        <v>30.98</v>
      </c>
      <c r="F37" s="37">
        <v>24.14132</v>
      </c>
      <c r="G37" s="37">
        <v>24.110289999999999</v>
      </c>
      <c r="H37" s="37">
        <v>14.886699999999999</v>
      </c>
      <c r="I37" s="37">
        <v>8.0587599999999995</v>
      </c>
      <c r="J37" s="37">
        <v>45.302</v>
      </c>
      <c r="K37" s="37">
        <v>26.291899999999998</v>
      </c>
      <c r="L37" s="37">
        <v>6.7076700000000002</v>
      </c>
      <c r="M37" s="37">
        <v>7.0570000000000004</v>
      </c>
      <c r="N37" s="37">
        <v>14.41948</v>
      </c>
      <c r="O37" s="37">
        <v>10.631880000000001</v>
      </c>
      <c r="P37" s="38">
        <v>13.730510000000001</v>
      </c>
    </row>
    <row r="38" spans="1:16" x14ac:dyDescent="0.45">
      <c r="A38" s="48">
        <v>40232</v>
      </c>
      <c r="B38" s="37">
        <v>16.340199999999999</v>
      </c>
      <c r="C38" s="37">
        <v>32.132939999999998</v>
      </c>
      <c r="D38" s="37">
        <v>12.6913</v>
      </c>
      <c r="E38" s="37">
        <v>31.3</v>
      </c>
      <c r="F38" s="37">
        <v>24.287669999999999</v>
      </c>
      <c r="G38" s="37">
        <v>24.110289999999999</v>
      </c>
      <c r="H38" s="37">
        <v>15.896039999999999</v>
      </c>
      <c r="I38" s="37">
        <v>7.9444499999999998</v>
      </c>
      <c r="J38" s="37">
        <v>44.764200000000002</v>
      </c>
      <c r="K38" s="37">
        <v>25.520700000000001</v>
      </c>
      <c r="L38" s="37">
        <v>6.7076700000000002</v>
      </c>
      <c r="M38" s="37">
        <v>7.0730300000000002</v>
      </c>
      <c r="N38" s="37">
        <v>14.31054</v>
      </c>
      <c r="O38" s="37">
        <v>10.60131</v>
      </c>
      <c r="P38" s="38">
        <v>13.730510000000001</v>
      </c>
    </row>
    <row r="39" spans="1:16" x14ac:dyDescent="0.45">
      <c r="A39" s="48">
        <v>40233</v>
      </c>
      <c r="B39" s="37">
        <v>15.927989999999999</v>
      </c>
      <c r="C39" s="37">
        <v>31.540330000000001</v>
      </c>
      <c r="D39" s="37">
        <v>12.418799999999999</v>
      </c>
      <c r="E39" s="37">
        <v>30.84</v>
      </c>
      <c r="F39" s="37">
        <v>23.95843</v>
      </c>
      <c r="G39" s="37">
        <v>23.858250000000002</v>
      </c>
      <c r="H39" s="37">
        <v>15.72776</v>
      </c>
      <c r="I39" s="37">
        <v>7.91587</v>
      </c>
      <c r="J39" s="37">
        <v>43.756100000000004</v>
      </c>
      <c r="K39" s="37">
        <v>25.851199999999999</v>
      </c>
      <c r="L39" s="37">
        <v>6.6437799999999996</v>
      </c>
      <c r="M39" s="37">
        <v>7.0730300000000002</v>
      </c>
      <c r="N39" s="37">
        <v>13.983610000000001</v>
      </c>
      <c r="O39" s="37">
        <v>10.54027</v>
      </c>
      <c r="P39" s="38">
        <v>14.685040000000001</v>
      </c>
    </row>
    <row r="40" spans="1:16" x14ac:dyDescent="0.45">
      <c r="A40" s="48">
        <v>40234</v>
      </c>
      <c r="B40" s="37">
        <v>15.486409999999999</v>
      </c>
      <c r="C40" s="37">
        <v>31.145250000000001</v>
      </c>
      <c r="D40" s="37">
        <v>12.0684</v>
      </c>
      <c r="E40" s="37">
        <v>30.65</v>
      </c>
      <c r="F40" s="37">
        <v>23.66583</v>
      </c>
      <c r="G40" s="37">
        <v>23.606210000000001</v>
      </c>
      <c r="H40" s="37">
        <v>16.064240000000002</v>
      </c>
      <c r="I40" s="37">
        <v>7.7729799999999996</v>
      </c>
      <c r="J40" s="37">
        <v>42.814999999999998</v>
      </c>
      <c r="K40" s="37">
        <v>25.887899999999998</v>
      </c>
      <c r="L40" s="37">
        <v>6.5160099999999996</v>
      </c>
      <c r="M40" s="37">
        <v>6.9447299999999998</v>
      </c>
      <c r="N40" s="37">
        <v>13.65677</v>
      </c>
      <c r="O40" s="37">
        <v>10.35689</v>
      </c>
      <c r="P40" s="38">
        <v>14.685040000000001</v>
      </c>
    </row>
    <row r="41" spans="1:16" x14ac:dyDescent="0.45">
      <c r="A41" s="48">
        <v>40235</v>
      </c>
      <c r="B41" s="37">
        <v>15.015269999999999</v>
      </c>
      <c r="C41" s="37">
        <v>33.318179999999998</v>
      </c>
      <c r="D41" s="37">
        <v>12.029500000000001</v>
      </c>
      <c r="E41" s="37">
        <v>29.96</v>
      </c>
      <c r="F41" s="37">
        <v>23.55611</v>
      </c>
      <c r="G41" s="37">
        <v>24.110289999999999</v>
      </c>
      <c r="H41" s="37">
        <v>16.148330000000001</v>
      </c>
      <c r="I41" s="37">
        <v>7.8587199999999999</v>
      </c>
      <c r="J41" s="37">
        <v>43.688800000000001</v>
      </c>
      <c r="K41" s="37">
        <v>26.0715</v>
      </c>
      <c r="L41" s="37">
        <v>6.6118399999999999</v>
      </c>
      <c r="M41" s="37">
        <v>7.0008600000000003</v>
      </c>
      <c r="N41" s="37">
        <v>13.2209</v>
      </c>
      <c r="O41" s="37">
        <v>10.54027</v>
      </c>
      <c r="P41" s="38">
        <v>14.53819</v>
      </c>
    </row>
    <row r="42" spans="1:16" x14ac:dyDescent="0.45">
      <c r="A42" s="48">
        <v>40238</v>
      </c>
      <c r="B42" s="37">
        <v>15.81021</v>
      </c>
      <c r="C42" s="37">
        <v>35.622790000000002</v>
      </c>
      <c r="D42" s="37">
        <v>12.457700000000001</v>
      </c>
      <c r="E42" s="37">
        <v>32.049999999999997</v>
      </c>
      <c r="F42" s="37">
        <v>23.995059999999999</v>
      </c>
      <c r="G42" s="37">
        <v>24.23631</v>
      </c>
      <c r="H42" s="37">
        <v>15.98014</v>
      </c>
      <c r="I42" s="37">
        <v>8.0873100000000004</v>
      </c>
      <c r="J42" s="37">
        <v>45.637999999999998</v>
      </c>
      <c r="K42" s="37">
        <v>26.5489</v>
      </c>
      <c r="L42" s="37">
        <v>6.7715399999999999</v>
      </c>
      <c r="M42" s="37">
        <v>7.1051099999999998</v>
      </c>
      <c r="N42" s="37">
        <v>13.693059999999999</v>
      </c>
      <c r="O42" s="37">
        <v>10.693</v>
      </c>
      <c r="P42" s="38">
        <v>14.5749</v>
      </c>
    </row>
    <row r="43" spans="1:16" x14ac:dyDescent="0.45">
      <c r="A43" s="48">
        <v>40239</v>
      </c>
      <c r="B43" s="37">
        <v>15.69251</v>
      </c>
      <c r="C43" s="37">
        <v>35.556950000000001</v>
      </c>
      <c r="D43" s="37">
        <v>12.2631</v>
      </c>
      <c r="E43" s="37">
        <v>33.299999999999997</v>
      </c>
      <c r="F43" s="37">
        <v>24.068149999999999</v>
      </c>
      <c r="G43" s="37">
        <v>24.278320000000001</v>
      </c>
      <c r="H43" s="37">
        <v>15.68571</v>
      </c>
      <c r="I43" s="37">
        <v>7.8872999999999998</v>
      </c>
      <c r="J43" s="37">
        <v>44.629800000000003</v>
      </c>
      <c r="K43" s="37">
        <v>26.769200000000001</v>
      </c>
      <c r="L43" s="37">
        <v>6.7076700000000002</v>
      </c>
      <c r="M43" s="37">
        <v>7.11313</v>
      </c>
      <c r="N43" s="37">
        <v>13.91104</v>
      </c>
      <c r="O43" s="37">
        <v>10.815250000000001</v>
      </c>
      <c r="P43" s="38">
        <v>14.354620000000001</v>
      </c>
    </row>
    <row r="44" spans="1:16" x14ac:dyDescent="0.45">
      <c r="A44" s="48">
        <v>40240</v>
      </c>
      <c r="B44" s="37">
        <v>15.42747</v>
      </c>
      <c r="C44" s="37">
        <v>37.400640000000003</v>
      </c>
      <c r="D44" s="37">
        <v>12.379899999999999</v>
      </c>
      <c r="E44" s="37">
        <v>34.46</v>
      </c>
      <c r="F44" s="37">
        <v>24.214490000000001</v>
      </c>
      <c r="G44" s="37">
        <v>25.202369999999998</v>
      </c>
      <c r="H44" s="37">
        <v>16.022189999999998</v>
      </c>
      <c r="I44" s="37">
        <v>8.0015999999999998</v>
      </c>
      <c r="J44" s="37">
        <v>45.100299999999997</v>
      </c>
      <c r="K44" s="37">
        <v>27.099699999999999</v>
      </c>
      <c r="L44" s="37">
        <v>6.7076700000000002</v>
      </c>
      <c r="M44" s="37">
        <v>7.2414399999999999</v>
      </c>
      <c r="N44" s="37">
        <v>14.31054</v>
      </c>
      <c r="O44" s="37">
        <v>10.99855</v>
      </c>
      <c r="P44" s="38">
        <v>15.34586</v>
      </c>
    </row>
    <row r="45" spans="1:16" x14ac:dyDescent="0.45">
      <c r="A45" s="48">
        <v>40241</v>
      </c>
      <c r="B45" s="37">
        <v>15.30969</v>
      </c>
      <c r="C45" s="37">
        <v>36.873869999999997</v>
      </c>
      <c r="D45" s="37">
        <v>12.302</v>
      </c>
      <c r="E45" s="37">
        <v>34</v>
      </c>
      <c r="F45" s="37">
        <v>23.84872</v>
      </c>
      <c r="G45" s="37">
        <v>24.614280000000001</v>
      </c>
      <c r="H45" s="37">
        <v>16.106280000000002</v>
      </c>
      <c r="I45" s="37">
        <v>8.0015999999999998</v>
      </c>
      <c r="J45" s="37">
        <v>44.360999999999997</v>
      </c>
      <c r="K45" s="37">
        <v>26.5489</v>
      </c>
      <c r="L45" s="37">
        <v>6.5799000000000003</v>
      </c>
      <c r="M45" s="37">
        <v>7.06501</v>
      </c>
      <c r="N45" s="37">
        <v>13.91104</v>
      </c>
      <c r="O45" s="37">
        <v>10.723560000000001</v>
      </c>
      <c r="P45" s="38">
        <v>15.125590000000001</v>
      </c>
    </row>
    <row r="46" spans="1:16" x14ac:dyDescent="0.45">
      <c r="A46" s="48">
        <v>40242</v>
      </c>
      <c r="B46" s="37">
        <v>15.42747</v>
      </c>
      <c r="C46" s="37">
        <v>36.610489999999999</v>
      </c>
      <c r="D46" s="37">
        <v>12.535600000000001</v>
      </c>
      <c r="E46" s="37">
        <v>34.65</v>
      </c>
      <c r="F46" s="37">
        <v>24.214490000000001</v>
      </c>
      <c r="G46" s="37">
        <v>24.950330000000001</v>
      </c>
      <c r="H46" s="37">
        <v>16.484719999999999</v>
      </c>
      <c r="I46" s="37">
        <v>8.1158999999999999</v>
      </c>
      <c r="J46" s="37">
        <v>44.764200000000002</v>
      </c>
      <c r="K46" s="37">
        <v>27.062999999999999</v>
      </c>
      <c r="L46" s="37">
        <v>6.7076700000000002</v>
      </c>
      <c r="M46" s="37">
        <v>7.1772799999999997</v>
      </c>
      <c r="N46" s="37">
        <v>14.237880000000001</v>
      </c>
      <c r="O46" s="37">
        <v>10.84573</v>
      </c>
      <c r="P46" s="38">
        <v>14.942030000000001</v>
      </c>
    </row>
    <row r="47" spans="1:16" x14ac:dyDescent="0.45">
      <c r="A47" s="48">
        <v>40245</v>
      </c>
      <c r="B47" s="37">
        <v>16.045780000000001</v>
      </c>
      <c r="C47" s="37">
        <v>36.017870000000002</v>
      </c>
      <c r="D47" s="37">
        <v>12.6134</v>
      </c>
      <c r="E47" s="37">
        <v>34.229999999999997</v>
      </c>
      <c r="F47" s="37">
        <v>24.287669999999999</v>
      </c>
      <c r="G47" s="37">
        <v>24.824310000000001</v>
      </c>
      <c r="H47" s="37">
        <v>16.779150000000001</v>
      </c>
      <c r="I47" s="37">
        <v>8.2873999999999999</v>
      </c>
      <c r="J47" s="37">
        <v>45.033099999999997</v>
      </c>
      <c r="K47" s="37">
        <v>27.136399999999998</v>
      </c>
      <c r="L47" s="37">
        <v>6.7396000000000003</v>
      </c>
      <c r="M47" s="37">
        <v>7.21739</v>
      </c>
      <c r="N47" s="37">
        <v>14.31054</v>
      </c>
      <c r="O47" s="37">
        <v>10.937419999999999</v>
      </c>
      <c r="P47" s="38">
        <v>15.96998</v>
      </c>
    </row>
    <row r="48" spans="1:16" x14ac:dyDescent="0.45">
      <c r="A48" s="48">
        <v>40246</v>
      </c>
      <c r="B48" s="37">
        <v>16.045780000000001</v>
      </c>
      <c r="C48" s="37">
        <v>35.227719999999998</v>
      </c>
      <c r="D48" s="37">
        <v>12.7302</v>
      </c>
      <c r="E48" s="37">
        <v>34.229999999999997</v>
      </c>
      <c r="F48" s="37">
        <v>24.287669999999999</v>
      </c>
      <c r="G48" s="37">
        <v>24.69829</v>
      </c>
      <c r="H48" s="37">
        <v>16.779150000000001</v>
      </c>
      <c r="I48" s="37">
        <v>8.1158999999999999</v>
      </c>
      <c r="J48" s="37">
        <v>44.360999999999997</v>
      </c>
      <c r="K48" s="37">
        <v>27.246600000000001</v>
      </c>
      <c r="L48" s="37">
        <v>6.7396000000000003</v>
      </c>
      <c r="M48" s="37">
        <v>7.2334199999999997</v>
      </c>
      <c r="N48" s="37">
        <v>14.3832</v>
      </c>
      <c r="O48" s="37">
        <v>10.937419999999999</v>
      </c>
      <c r="P48" s="38">
        <v>15.96998</v>
      </c>
    </row>
    <row r="49" spans="1:16" x14ac:dyDescent="0.45">
      <c r="A49" s="48">
        <v>40247</v>
      </c>
      <c r="B49" s="37">
        <v>16.19303</v>
      </c>
      <c r="C49" s="37">
        <v>35.754489999999997</v>
      </c>
      <c r="D49" s="37">
        <v>12.924899999999999</v>
      </c>
      <c r="E49" s="37">
        <v>33.86</v>
      </c>
      <c r="F49" s="37">
        <v>24.470549999999999</v>
      </c>
      <c r="G49" s="37">
        <v>24.530259999999998</v>
      </c>
      <c r="H49" s="37">
        <v>16.779150000000001</v>
      </c>
      <c r="I49" s="37">
        <v>8.0873100000000004</v>
      </c>
      <c r="J49" s="37">
        <v>44.293799999999997</v>
      </c>
      <c r="K49" s="37">
        <v>28.1279</v>
      </c>
      <c r="L49" s="37">
        <v>6.7076700000000002</v>
      </c>
      <c r="M49" s="37">
        <v>7.2414399999999999</v>
      </c>
      <c r="N49" s="37">
        <v>14.31054</v>
      </c>
      <c r="O49" s="37">
        <v>10.84573</v>
      </c>
      <c r="P49" s="38">
        <v>15.96998</v>
      </c>
    </row>
    <row r="50" spans="1:16" x14ac:dyDescent="0.45">
      <c r="A50" s="48">
        <v>40248</v>
      </c>
      <c r="B50" s="37">
        <v>16.075240000000001</v>
      </c>
      <c r="C50" s="37">
        <v>35.030180000000001</v>
      </c>
      <c r="D50" s="37">
        <v>13.002800000000001</v>
      </c>
      <c r="E50" s="37">
        <v>33.159999999999997</v>
      </c>
      <c r="F50" s="37">
        <v>24.287669999999999</v>
      </c>
      <c r="G50" s="37">
        <v>24.530259999999998</v>
      </c>
      <c r="H50" s="37">
        <v>16.694959999999998</v>
      </c>
      <c r="I50" s="37">
        <v>7.9730299999999996</v>
      </c>
      <c r="J50" s="37">
        <v>43.756100000000004</v>
      </c>
      <c r="K50" s="37">
        <v>28.017700000000001</v>
      </c>
      <c r="L50" s="37">
        <v>6.6437799999999996</v>
      </c>
      <c r="M50" s="37">
        <v>7.1532299999999998</v>
      </c>
      <c r="N50" s="37">
        <v>14.01998</v>
      </c>
      <c r="O50" s="37">
        <v>10.66244</v>
      </c>
      <c r="P50" s="38">
        <v>16.81437</v>
      </c>
    </row>
    <row r="51" spans="1:16" x14ac:dyDescent="0.45">
      <c r="A51" s="48">
        <v>40249</v>
      </c>
      <c r="B51" s="37">
        <v>16.016310000000001</v>
      </c>
      <c r="C51" s="37">
        <v>34.371720000000003</v>
      </c>
      <c r="D51" s="37">
        <v>13.041700000000001</v>
      </c>
      <c r="E51" s="37">
        <v>33.53</v>
      </c>
      <c r="F51" s="37">
        <v>24.14132</v>
      </c>
      <c r="G51" s="37">
        <v>25.03434</v>
      </c>
      <c r="H51" s="37">
        <v>16.694959999999998</v>
      </c>
      <c r="I51" s="37">
        <v>8.0015999999999998</v>
      </c>
      <c r="J51" s="37">
        <v>43.957700000000003</v>
      </c>
      <c r="K51" s="37">
        <v>27.944299999999998</v>
      </c>
      <c r="L51" s="37">
        <v>6.6757200000000001</v>
      </c>
      <c r="M51" s="37">
        <v>7.1772799999999997</v>
      </c>
      <c r="N51" s="37">
        <v>14.01998</v>
      </c>
      <c r="O51" s="37">
        <v>10.66244</v>
      </c>
      <c r="P51" s="38">
        <v>17.989170000000001</v>
      </c>
    </row>
    <row r="52" spans="1:16" x14ac:dyDescent="0.45">
      <c r="A52" s="48">
        <v>40252</v>
      </c>
      <c r="B52" s="37">
        <v>15.663040000000001</v>
      </c>
      <c r="C52" s="37">
        <v>33.38402</v>
      </c>
      <c r="D52" s="37">
        <v>12.6913</v>
      </c>
      <c r="E52" s="37">
        <v>33.299999999999997</v>
      </c>
      <c r="F52" s="37">
        <v>23.921890000000001</v>
      </c>
      <c r="G52" s="37">
        <v>24.23631</v>
      </c>
      <c r="H52" s="37">
        <v>16.610859999999999</v>
      </c>
      <c r="I52" s="37">
        <v>7.7444100000000002</v>
      </c>
      <c r="J52" s="37">
        <v>43.1511</v>
      </c>
      <c r="K52" s="37">
        <v>27.7974</v>
      </c>
      <c r="L52" s="37">
        <v>6.5799000000000003</v>
      </c>
      <c r="M52" s="37">
        <v>7.0008600000000003</v>
      </c>
      <c r="N52" s="37">
        <v>13.65677</v>
      </c>
      <c r="O52" s="37">
        <v>10.50971</v>
      </c>
      <c r="P52" s="38">
        <v>19.237400000000001</v>
      </c>
    </row>
    <row r="53" spans="1:16" x14ac:dyDescent="0.45">
      <c r="A53" s="48">
        <v>40253</v>
      </c>
      <c r="B53" s="37">
        <v>15.663040000000001</v>
      </c>
      <c r="C53" s="37">
        <v>35.688639999999999</v>
      </c>
      <c r="D53" s="37">
        <v>12.847</v>
      </c>
      <c r="E53" s="37">
        <v>33.44</v>
      </c>
      <c r="F53" s="37">
        <v>24.068149999999999</v>
      </c>
      <c r="G53" s="37">
        <v>24.278320000000001</v>
      </c>
      <c r="H53" s="37">
        <v>16.737010000000001</v>
      </c>
      <c r="I53" s="37">
        <v>7.8872999999999998</v>
      </c>
      <c r="J53" s="37">
        <v>44.024900000000002</v>
      </c>
      <c r="K53" s="37">
        <v>28.274799999999999</v>
      </c>
      <c r="L53" s="37">
        <v>6.6118399999999999</v>
      </c>
      <c r="M53" s="37">
        <v>7.0810599999999999</v>
      </c>
      <c r="N53" s="37">
        <v>13.87467</v>
      </c>
      <c r="O53" s="37">
        <v>10.631880000000001</v>
      </c>
      <c r="P53" s="38">
        <v>19.237400000000001</v>
      </c>
    </row>
    <row r="54" spans="1:16" x14ac:dyDescent="0.45">
      <c r="A54" s="48">
        <v>40254</v>
      </c>
      <c r="B54" s="37">
        <v>16.13409</v>
      </c>
      <c r="C54" s="37">
        <v>35.886180000000003</v>
      </c>
      <c r="D54" s="37">
        <v>13.0806</v>
      </c>
      <c r="E54" s="37">
        <v>33.81</v>
      </c>
      <c r="F54" s="37">
        <v>24.397379999999998</v>
      </c>
      <c r="G54" s="37">
        <v>25.412400000000002</v>
      </c>
      <c r="H54" s="37">
        <v>16.821200000000001</v>
      </c>
      <c r="I54" s="37">
        <v>7.9444499999999998</v>
      </c>
      <c r="J54" s="37">
        <v>44.697000000000003</v>
      </c>
      <c r="K54" s="37">
        <v>28.458400000000001</v>
      </c>
      <c r="L54" s="37">
        <v>6.7076700000000002</v>
      </c>
      <c r="M54" s="37">
        <v>7.2574800000000002</v>
      </c>
      <c r="N54" s="37">
        <v>14.492139999999999</v>
      </c>
      <c r="O54" s="37">
        <v>10.815250000000001</v>
      </c>
      <c r="P54" s="38">
        <v>19.384250000000002</v>
      </c>
    </row>
    <row r="55" spans="1:16" x14ac:dyDescent="0.45">
      <c r="A55" s="48">
        <v>40255</v>
      </c>
      <c r="B55" s="37">
        <v>16.487449999999999</v>
      </c>
      <c r="C55" s="37">
        <v>35.491100000000003</v>
      </c>
      <c r="D55" s="37">
        <v>13.041700000000001</v>
      </c>
      <c r="E55" s="37">
        <v>34.46</v>
      </c>
      <c r="F55" s="37">
        <v>24.25104</v>
      </c>
      <c r="G55" s="37">
        <v>25.11835</v>
      </c>
      <c r="H55" s="37">
        <v>16.905290000000001</v>
      </c>
      <c r="I55" s="37">
        <v>8.2302300000000006</v>
      </c>
      <c r="J55" s="37">
        <v>44.697000000000003</v>
      </c>
      <c r="K55" s="37">
        <v>28.678699999999999</v>
      </c>
      <c r="L55" s="37">
        <v>6.8354200000000001</v>
      </c>
      <c r="M55" s="37">
        <v>7.29758</v>
      </c>
      <c r="N55" s="37">
        <v>14.746409999999999</v>
      </c>
      <c r="O55" s="37">
        <v>10.967980000000001</v>
      </c>
      <c r="P55" s="38">
        <v>19.714659999999999</v>
      </c>
    </row>
    <row r="56" spans="1:16" x14ac:dyDescent="0.45">
      <c r="A56" s="48">
        <v>40256</v>
      </c>
      <c r="B56" s="37">
        <v>16.634609999999999</v>
      </c>
      <c r="C56" s="37">
        <v>36.808030000000002</v>
      </c>
      <c r="D56" s="37">
        <v>13.1974</v>
      </c>
      <c r="E56" s="37">
        <v>34.6</v>
      </c>
      <c r="F56" s="37">
        <v>24.287669999999999</v>
      </c>
      <c r="G56" s="37">
        <v>25.202369999999998</v>
      </c>
      <c r="H56" s="37">
        <v>16.821200000000001</v>
      </c>
      <c r="I56" s="37">
        <v>8.3159899999999993</v>
      </c>
      <c r="J56" s="37">
        <v>44.562600000000003</v>
      </c>
      <c r="K56" s="37">
        <v>28.495100000000001</v>
      </c>
      <c r="L56" s="37">
        <v>7.2187200000000002</v>
      </c>
      <c r="M56" s="37">
        <v>7.3537100000000004</v>
      </c>
      <c r="N56" s="37">
        <v>14.67375</v>
      </c>
      <c r="O56" s="37">
        <v>10.967980000000001</v>
      </c>
      <c r="P56" s="38">
        <v>21.073029999999999</v>
      </c>
    </row>
    <row r="57" spans="1:16" x14ac:dyDescent="0.45">
      <c r="A57" s="48">
        <v>40259</v>
      </c>
      <c r="B57" s="37">
        <v>16.399049999999999</v>
      </c>
      <c r="C57" s="37">
        <v>36.610489999999999</v>
      </c>
      <c r="D57" s="37">
        <v>13.041700000000001</v>
      </c>
      <c r="E57" s="37">
        <v>34.46</v>
      </c>
      <c r="F57" s="37">
        <v>23.921890000000001</v>
      </c>
      <c r="G57" s="37">
        <v>26.966550000000002</v>
      </c>
      <c r="H57" s="37">
        <v>16.40062</v>
      </c>
      <c r="I57" s="37">
        <v>8.2302300000000006</v>
      </c>
      <c r="J57" s="37">
        <v>44.4953</v>
      </c>
      <c r="K57" s="37">
        <v>28.6052</v>
      </c>
      <c r="L57" s="37">
        <v>7.1867799999999997</v>
      </c>
      <c r="M57" s="37">
        <v>7.2414399999999999</v>
      </c>
      <c r="N57" s="37">
        <v>14.31054</v>
      </c>
      <c r="O57" s="37">
        <v>10.784689999999999</v>
      </c>
      <c r="P57" s="38">
        <v>22.541530000000002</v>
      </c>
    </row>
    <row r="58" spans="1:16" x14ac:dyDescent="0.45">
      <c r="A58" s="48">
        <v>40260</v>
      </c>
      <c r="B58" s="37">
        <v>16.457979999999999</v>
      </c>
      <c r="C58" s="37">
        <v>35.886180000000003</v>
      </c>
      <c r="D58" s="37">
        <v>12.885999999999999</v>
      </c>
      <c r="E58" s="37">
        <v>33.72</v>
      </c>
      <c r="F58" s="37">
        <v>23.812090000000001</v>
      </c>
      <c r="G58" s="37">
        <v>28.394680000000001</v>
      </c>
      <c r="H58" s="37">
        <v>15.81195</v>
      </c>
      <c r="I58" s="37">
        <v>8.0587599999999995</v>
      </c>
      <c r="J58" s="37">
        <v>44.024900000000002</v>
      </c>
      <c r="K58" s="37">
        <v>28.715399999999999</v>
      </c>
      <c r="L58" s="37">
        <v>7.0909500000000003</v>
      </c>
      <c r="M58" s="37">
        <v>7.2414399999999999</v>
      </c>
      <c r="N58" s="37">
        <v>14.201589999999999</v>
      </c>
      <c r="O58" s="37">
        <v>10.693</v>
      </c>
      <c r="P58" s="38">
        <v>20.999610000000001</v>
      </c>
    </row>
    <row r="59" spans="1:16" x14ac:dyDescent="0.45">
      <c r="A59" s="48">
        <v>40261</v>
      </c>
      <c r="B59" s="37">
        <v>16.752400000000002</v>
      </c>
      <c r="C59" s="37">
        <v>36.08372</v>
      </c>
      <c r="D59" s="37">
        <v>13.041700000000001</v>
      </c>
      <c r="E59" s="37">
        <v>33.44</v>
      </c>
      <c r="F59" s="37">
        <v>23.95843</v>
      </c>
      <c r="G59" s="37">
        <v>28.184650000000001</v>
      </c>
      <c r="H59" s="37">
        <v>16.148330000000001</v>
      </c>
      <c r="I59" s="37">
        <v>8.0015999999999998</v>
      </c>
      <c r="J59" s="37">
        <v>44.226500000000001</v>
      </c>
      <c r="K59" s="37">
        <v>28.385000000000002</v>
      </c>
      <c r="L59" s="37">
        <v>7.0590200000000003</v>
      </c>
      <c r="M59" s="37">
        <v>7.2735200000000004</v>
      </c>
      <c r="N59" s="37">
        <v>14.01998</v>
      </c>
      <c r="O59" s="37">
        <v>10.723560000000001</v>
      </c>
      <c r="P59" s="38">
        <v>20.595770000000002</v>
      </c>
    </row>
    <row r="60" spans="1:16" x14ac:dyDescent="0.45">
      <c r="A60" s="48">
        <v>40262</v>
      </c>
      <c r="B60" s="37">
        <v>16.840710000000001</v>
      </c>
      <c r="C60" s="37">
        <v>36.4788</v>
      </c>
      <c r="D60" s="37">
        <v>13.002800000000001</v>
      </c>
      <c r="E60" s="37">
        <v>33.49</v>
      </c>
      <c r="F60" s="37">
        <v>23.921890000000001</v>
      </c>
      <c r="G60" s="37">
        <v>27.722580000000001</v>
      </c>
      <c r="H60" s="37">
        <v>16.106280000000002</v>
      </c>
      <c r="I60" s="37">
        <v>8.0873100000000004</v>
      </c>
      <c r="J60" s="37">
        <v>45.369199999999999</v>
      </c>
      <c r="K60" s="37">
        <v>28.348199999999999</v>
      </c>
      <c r="L60" s="37">
        <v>6.9312500000000004</v>
      </c>
      <c r="M60" s="37">
        <v>7.2895599999999998</v>
      </c>
      <c r="N60" s="37">
        <v>14.05627</v>
      </c>
      <c r="O60" s="37">
        <v>10.66244</v>
      </c>
      <c r="P60" s="38">
        <v>20.228639999999999</v>
      </c>
    </row>
    <row r="61" spans="1:16" x14ac:dyDescent="0.45">
      <c r="A61" s="48">
        <v>40263</v>
      </c>
      <c r="B61" s="37">
        <v>16.781780000000001</v>
      </c>
      <c r="C61" s="37">
        <v>36.215409999999999</v>
      </c>
      <c r="D61" s="37">
        <v>13.2363</v>
      </c>
      <c r="E61" s="37">
        <v>33.770000000000003</v>
      </c>
      <c r="F61" s="37">
        <v>23.885259999999999</v>
      </c>
      <c r="G61" s="37">
        <v>28.436689999999999</v>
      </c>
      <c r="H61" s="37">
        <v>16.064240000000002</v>
      </c>
      <c r="I61" s="37">
        <v>8.0873100000000004</v>
      </c>
      <c r="J61" s="37">
        <v>45.369199999999999</v>
      </c>
      <c r="K61" s="37">
        <v>28.091100000000001</v>
      </c>
      <c r="L61" s="37">
        <v>6.8673700000000002</v>
      </c>
      <c r="M61" s="37">
        <v>7.2735200000000004</v>
      </c>
      <c r="N61" s="37">
        <v>14.16522</v>
      </c>
      <c r="O61" s="37">
        <v>10.66244</v>
      </c>
      <c r="P61" s="38">
        <v>21.623719999999999</v>
      </c>
    </row>
    <row r="62" spans="1:16" x14ac:dyDescent="0.45">
      <c r="A62" s="48">
        <v>40266</v>
      </c>
      <c r="B62" s="37">
        <v>16.516829999999999</v>
      </c>
      <c r="C62" s="37">
        <v>36.08372</v>
      </c>
      <c r="D62" s="37">
        <v>13.041700000000001</v>
      </c>
      <c r="E62" s="37">
        <v>35.299999999999997</v>
      </c>
      <c r="F62" s="37">
        <v>23.995059999999999</v>
      </c>
      <c r="G62" s="37">
        <v>28.14264</v>
      </c>
      <c r="H62" s="37">
        <v>15.98014</v>
      </c>
      <c r="I62" s="37">
        <v>8.1158999999999999</v>
      </c>
      <c r="J62" s="37">
        <v>45.100299999999997</v>
      </c>
      <c r="K62" s="37">
        <v>28.752099999999999</v>
      </c>
      <c r="L62" s="37">
        <v>7.0270799999999998</v>
      </c>
      <c r="M62" s="37">
        <v>7.2655000000000003</v>
      </c>
      <c r="N62" s="37">
        <v>14.12893</v>
      </c>
      <c r="O62" s="37">
        <v>10.723560000000001</v>
      </c>
      <c r="P62" s="38">
        <v>20.999610000000001</v>
      </c>
    </row>
    <row r="63" spans="1:16" x14ac:dyDescent="0.45">
      <c r="A63" s="48">
        <v>40267</v>
      </c>
      <c r="B63" s="37">
        <v>16.899570000000001</v>
      </c>
      <c r="C63" s="37">
        <v>36.873869999999997</v>
      </c>
      <c r="D63" s="37">
        <v>13.0806</v>
      </c>
      <c r="E63" s="37">
        <v>34.74</v>
      </c>
      <c r="F63" s="37">
        <v>24.031610000000001</v>
      </c>
      <c r="G63" s="37">
        <v>28.01662</v>
      </c>
      <c r="H63" s="37">
        <v>15.85399</v>
      </c>
      <c r="I63" s="37">
        <v>8.2016500000000008</v>
      </c>
      <c r="J63" s="37">
        <v>45.100299999999997</v>
      </c>
      <c r="K63" s="37">
        <v>28.752099999999999</v>
      </c>
      <c r="L63" s="37">
        <v>7.2506599999999999</v>
      </c>
      <c r="M63" s="37">
        <v>7.3216400000000004</v>
      </c>
      <c r="N63" s="37">
        <v>14.201589999999999</v>
      </c>
      <c r="O63" s="37">
        <v>10.815250000000001</v>
      </c>
      <c r="P63" s="38">
        <v>21.807279999999999</v>
      </c>
    </row>
    <row r="64" spans="1:16" x14ac:dyDescent="0.45">
      <c r="A64" s="48">
        <v>40268</v>
      </c>
      <c r="B64" s="37">
        <v>17.0762</v>
      </c>
      <c r="C64" s="37">
        <v>36.610489999999999</v>
      </c>
      <c r="D64" s="37">
        <v>13.1195</v>
      </c>
      <c r="E64" s="37">
        <v>34.42</v>
      </c>
      <c r="F64" s="37">
        <v>24.031610000000001</v>
      </c>
      <c r="G64" s="37">
        <v>28.310669999999998</v>
      </c>
      <c r="H64" s="37">
        <v>15.72776</v>
      </c>
      <c r="I64" s="37">
        <v>8.2302300000000006</v>
      </c>
      <c r="J64" s="37">
        <v>45.436399999999999</v>
      </c>
      <c r="K64" s="37">
        <v>28.348199999999999</v>
      </c>
      <c r="L64" s="37">
        <v>7.2187200000000002</v>
      </c>
      <c r="M64" s="37">
        <v>7.21739</v>
      </c>
      <c r="N64" s="37">
        <v>13.838380000000001</v>
      </c>
      <c r="O64" s="37">
        <v>10.66244</v>
      </c>
      <c r="P64" s="38">
        <v>21.330020000000001</v>
      </c>
    </row>
    <row r="65" spans="1:16" x14ac:dyDescent="0.45">
      <c r="A65" s="48">
        <v>40269</v>
      </c>
      <c r="B65" s="37">
        <v>17.429549999999999</v>
      </c>
      <c r="C65" s="37">
        <v>39.112639999999999</v>
      </c>
      <c r="D65" s="37">
        <v>13.1585</v>
      </c>
      <c r="E65" s="37">
        <v>34.79</v>
      </c>
      <c r="F65" s="37">
        <v>24.287669999999999</v>
      </c>
      <c r="G65" s="37">
        <v>28.268660000000001</v>
      </c>
      <c r="H65" s="37">
        <v>15.81195</v>
      </c>
      <c r="I65" s="37">
        <v>8.3730799999999999</v>
      </c>
      <c r="J65" s="37">
        <v>48.595399999999998</v>
      </c>
      <c r="K65" s="37">
        <v>28.678699999999999</v>
      </c>
      <c r="L65" s="37">
        <v>7.1867799999999997</v>
      </c>
      <c r="M65" s="37">
        <v>7.3456900000000003</v>
      </c>
      <c r="N65" s="37">
        <v>14.092560000000001</v>
      </c>
      <c r="O65" s="37">
        <v>10.84573</v>
      </c>
      <c r="P65" s="38">
        <v>21.36673</v>
      </c>
    </row>
    <row r="66" spans="1:16" x14ac:dyDescent="0.45">
      <c r="A66" s="48">
        <v>40270</v>
      </c>
      <c r="B66" s="37">
        <v>17.694500000000001</v>
      </c>
      <c r="C66" s="37">
        <v>38.059100000000001</v>
      </c>
      <c r="D66" s="37">
        <v>13.041700000000001</v>
      </c>
      <c r="E66" s="37">
        <v>34.229999999999997</v>
      </c>
      <c r="F66" s="37">
        <v>24.43393</v>
      </c>
      <c r="G66" s="37">
        <v>28.520700000000001</v>
      </c>
      <c r="H66" s="37">
        <v>16.190380000000001</v>
      </c>
      <c r="I66" s="37">
        <v>8.4588300000000007</v>
      </c>
      <c r="J66" s="37">
        <v>48.259300000000003</v>
      </c>
      <c r="K66" s="37">
        <v>28.641999999999999</v>
      </c>
      <c r="L66" s="37">
        <v>7.2187200000000002</v>
      </c>
      <c r="M66" s="37">
        <v>7.3777699999999999</v>
      </c>
      <c r="N66" s="37">
        <v>14.01998</v>
      </c>
      <c r="O66" s="37">
        <v>10.876289999999999</v>
      </c>
      <c r="P66" s="38">
        <v>22.835229999999999</v>
      </c>
    </row>
    <row r="67" spans="1:16" x14ac:dyDescent="0.45">
      <c r="A67" s="48">
        <v>40273</v>
      </c>
      <c r="B67" s="37">
        <v>17.694500000000001</v>
      </c>
      <c r="C67" s="37">
        <v>38.059100000000001</v>
      </c>
      <c r="D67" s="37">
        <v>13.041700000000001</v>
      </c>
      <c r="E67" s="37">
        <v>34.229999999999997</v>
      </c>
      <c r="F67" s="37">
        <v>24.43393</v>
      </c>
      <c r="G67" s="37">
        <v>28.520700000000001</v>
      </c>
      <c r="H67" s="37">
        <v>16.190380000000001</v>
      </c>
      <c r="I67" s="37">
        <v>8.7971699999999995</v>
      </c>
      <c r="J67" s="37">
        <v>48.259300000000003</v>
      </c>
      <c r="K67" s="37">
        <v>28.641999999999999</v>
      </c>
      <c r="L67" s="37">
        <v>7.2187200000000002</v>
      </c>
      <c r="M67" s="37">
        <v>7.3777699999999999</v>
      </c>
      <c r="N67" s="37">
        <v>14.01998</v>
      </c>
      <c r="O67" s="37">
        <v>10.876289999999999</v>
      </c>
      <c r="P67" s="38">
        <v>22.835229999999999</v>
      </c>
    </row>
    <row r="68" spans="1:16" x14ac:dyDescent="0.45">
      <c r="A68" s="48">
        <v>40274</v>
      </c>
      <c r="B68" s="37">
        <v>17.90061</v>
      </c>
      <c r="C68" s="37">
        <v>38.059100000000001</v>
      </c>
      <c r="D68" s="37">
        <v>13.2753</v>
      </c>
      <c r="E68" s="37">
        <v>34.229999999999997</v>
      </c>
      <c r="F68" s="37">
        <v>24.799710000000001</v>
      </c>
      <c r="G68" s="37">
        <v>29.528770000000002</v>
      </c>
      <c r="H68" s="37">
        <v>16.40062</v>
      </c>
      <c r="I68" s="37">
        <v>8.6588399999999996</v>
      </c>
      <c r="J68" s="37">
        <v>48.124899999999997</v>
      </c>
      <c r="K68" s="37">
        <v>28.5318</v>
      </c>
      <c r="L68" s="37">
        <v>7.0909500000000003</v>
      </c>
      <c r="M68" s="37">
        <v>7.3617299999999997</v>
      </c>
      <c r="N68" s="37">
        <v>14.12893</v>
      </c>
      <c r="O68" s="37">
        <v>10.90686</v>
      </c>
      <c r="P68" s="38">
        <v>24.413879999999999</v>
      </c>
    </row>
    <row r="69" spans="1:16" x14ac:dyDescent="0.45">
      <c r="A69" s="48">
        <v>40275</v>
      </c>
      <c r="B69" s="37">
        <v>17.665040000000001</v>
      </c>
      <c r="C69" s="37">
        <v>38.783410000000003</v>
      </c>
      <c r="D69" s="37">
        <v>13.392099999999999</v>
      </c>
      <c r="E69" s="37">
        <v>34.79</v>
      </c>
      <c r="F69" s="37">
        <v>24.799710000000001</v>
      </c>
      <c r="G69" s="37">
        <v>29.234719999999999</v>
      </c>
      <c r="H69" s="37">
        <v>16.40062</v>
      </c>
      <c r="I69" s="37">
        <v>8.8017699999999994</v>
      </c>
      <c r="J69" s="37">
        <v>48.1922</v>
      </c>
      <c r="K69" s="37">
        <v>28.495100000000001</v>
      </c>
      <c r="L69" s="37">
        <v>7.1548400000000001</v>
      </c>
      <c r="M69" s="37">
        <v>7.40984</v>
      </c>
      <c r="N69" s="37">
        <v>14.27425</v>
      </c>
      <c r="O69" s="37">
        <v>10.967980000000001</v>
      </c>
      <c r="P69" s="38">
        <v>26.10266</v>
      </c>
    </row>
    <row r="70" spans="1:16" x14ac:dyDescent="0.45">
      <c r="A70" s="48">
        <v>40276</v>
      </c>
      <c r="B70" s="37">
        <v>17.341239999999999</v>
      </c>
      <c r="C70" s="37">
        <v>40.49541</v>
      </c>
      <c r="D70" s="37">
        <v>13.2753</v>
      </c>
      <c r="E70" s="37">
        <v>35.11</v>
      </c>
      <c r="F70" s="37">
        <v>24.872879999999999</v>
      </c>
      <c r="G70" s="37">
        <v>28.646719999999998</v>
      </c>
      <c r="H70" s="37">
        <v>16.148330000000001</v>
      </c>
      <c r="I70" s="37">
        <v>9.0589499999999994</v>
      </c>
      <c r="J70" s="37">
        <v>49.6036</v>
      </c>
      <c r="K70" s="37">
        <v>28.274799999999999</v>
      </c>
      <c r="L70" s="37">
        <v>7.31454</v>
      </c>
      <c r="M70" s="37">
        <v>7.4178699999999997</v>
      </c>
      <c r="N70" s="37">
        <v>14.346830000000001</v>
      </c>
      <c r="O70" s="37">
        <v>10.967980000000001</v>
      </c>
      <c r="P70" s="38">
        <v>24.340450000000001</v>
      </c>
    </row>
    <row r="71" spans="1:16" x14ac:dyDescent="0.45">
      <c r="A71" s="48">
        <v>40277</v>
      </c>
      <c r="B71" s="37">
        <v>17.812290000000001</v>
      </c>
      <c r="C71" s="37">
        <v>40.627110000000002</v>
      </c>
      <c r="D71" s="37">
        <v>13.1974</v>
      </c>
      <c r="E71" s="37">
        <v>35.39</v>
      </c>
      <c r="F71" s="37">
        <v>24.94605</v>
      </c>
      <c r="G71" s="37">
        <v>27.59656</v>
      </c>
      <c r="H71" s="37">
        <v>16.148330000000001</v>
      </c>
      <c r="I71" s="37">
        <v>9.0875400000000006</v>
      </c>
      <c r="J71" s="37">
        <v>49.334800000000001</v>
      </c>
      <c r="K71" s="37">
        <v>28.311499999999999</v>
      </c>
      <c r="L71" s="37">
        <v>7.4103700000000003</v>
      </c>
      <c r="M71" s="37">
        <v>7.4659800000000001</v>
      </c>
      <c r="N71" s="37">
        <v>14.7827</v>
      </c>
      <c r="O71" s="37">
        <v>11.120710000000001</v>
      </c>
      <c r="P71" s="38">
        <v>25.919090000000001</v>
      </c>
    </row>
    <row r="72" spans="1:16" x14ac:dyDescent="0.45">
      <c r="A72" s="48">
        <v>40280</v>
      </c>
      <c r="B72" s="37">
        <v>18.19502</v>
      </c>
      <c r="C72" s="37">
        <v>40.627110000000002</v>
      </c>
      <c r="D72" s="37">
        <v>13.1974</v>
      </c>
      <c r="E72" s="37">
        <v>34.74</v>
      </c>
      <c r="F72" s="37">
        <v>25.42154</v>
      </c>
      <c r="G72" s="37">
        <v>27.722580000000001</v>
      </c>
      <c r="H72" s="37">
        <v>16.35857</v>
      </c>
      <c r="I72" s="37">
        <v>9.1447000000000003</v>
      </c>
      <c r="J72" s="37">
        <v>50.746200000000002</v>
      </c>
      <c r="K72" s="37">
        <v>28.641999999999999</v>
      </c>
      <c r="L72" s="37">
        <v>7.4103700000000003</v>
      </c>
      <c r="M72" s="37">
        <v>7.4820200000000003</v>
      </c>
      <c r="N72" s="37">
        <v>14.855359999999999</v>
      </c>
      <c r="O72" s="37">
        <v>11.120710000000001</v>
      </c>
      <c r="P72" s="38">
        <v>26.13937</v>
      </c>
    </row>
    <row r="73" spans="1:16" x14ac:dyDescent="0.45">
      <c r="A73" s="48">
        <v>40281</v>
      </c>
      <c r="B73" s="37">
        <v>18.283339999999999</v>
      </c>
      <c r="C73" s="37">
        <v>39.244329999999998</v>
      </c>
      <c r="D73" s="37">
        <v>12.924899999999999</v>
      </c>
      <c r="E73" s="37">
        <v>34.79</v>
      </c>
      <c r="F73" s="37">
        <v>25.385000000000002</v>
      </c>
      <c r="G73" s="37">
        <v>26.882539999999999</v>
      </c>
      <c r="H73" s="37">
        <v>15.896039999999999</v>
      </c>
      <c r="I73" s="37">
        <v>8.9161099999999998</v>
      </c>
      <c r="J73" s="37">
        <v>48.7971</v>
      </c>
      <c r="K73" s="37">
        <v>28.311499999999999</v>
      </c>
      <c r="L73" s="37">
        <v>7.2187200000000002</v>
      </c>
      <c r="M73" s="37">
        <v>7.3376700000000001</v>
      </c>
      <c r="N73" s="37">
        <v>14.3832</v>
      </c>
      <c r="O73" s="37">
        <v>10.967980000000001</v>
      </c>
      <c r="P73" s="38">
        <v>26.726769999999998</v>
      </c>
    </row>
    <row r="74" spans="1:16" x14ac:dyDescent="0.45">
      <c r="A74" s="48">
        <v>40282</v>
      </c>
      <c r="B74" s="37">
        <v>18.430589999999999</v>
      </c>
      <c r="C74" s="37">
        <v>40.166179999999997</v>
      </c>
      <c r="D74" s="37">
        <v>12.963800000000001</v>
      </c>
      <c r="E74" s="37">
        <v>35.44</v>
      </c>
      <c r="F74" s="37">
        <v>25.42154</v>
      </c>
      <c r="G74" s="37">
        <v>26.630500000000001</v>
      </c>
      <c r="H74" s="37">
        <v>15.81195</v>
      </c>
      <c r="I74" s="37">
        <v>8.8875200000000003</v>
      </c>
      <c r="J74" s="37">
        <v>49.939700000000002</v>
      </c>
      <c r="K74" s="37">
        <v>28.6052</v>
      </c>
      <c r="L74" s="37">
        <v>7.28261</v>
      </c>
      <c r="M74" s="37">
        <v>7.4339000000000004</v>
      </c>
      <c r="N74" s="37">
        <v>14.3832</v>
      </c>
      <c r="O74" s="37">
        <v>10.937419999999999</v>
      </c>
      <c r="P74" s="38">
        <v>28.5624</v>
      </c>
    </row>
    <row r="75" spans="1:16" x14ac:dyDescent="0.45">
      <c r="A75" s="48">
        <v>40283</v>
      </c>
      <c r="B75" s="37">
        <v>18.636610000000001</v>
      </c>
      <c r="C75" s="37">
        <v>40.363720000000001</v>
      </c>
      <c r="D75" s="37">
        <v>12.924899999999999</v>
      </c>
      <c r="E75" s="37">
        <v>37.340000000000003</v>
      </c>
      <c r="F75" s="37">
        <v>25.567889999999998</v>
      </c>
      <c r="G75" s="37">
        <v>28.352679999999999</v>
      </c>
      <c r="H75" s="37">
        <v>16.821200000000001</v>
      </c>
      <c r="I75" s="37">
        <v>8.9732000000000003</v>
      </c>
      <c r="J75" s="37">
        <v>49.872500000000002</v>
      </c>
      <c r="K75" s="37">
        <v>28.5685</v>
      </c>
      <c r="L75" s="37">
        <v>7.3464900000000002</v>
      </c>
      <c r="M75" s="37">
        <v>7.4980599999999997</v>
      </c>
      <c r="N75" s="37">
        <v>14.601089999999999</v>
      </c>
      <c r="O75" s="37">
        <v>10.876289999999999</v>
      </c>
      <c r="P75" s="38">
        <v>28.195270000000001</v>
      </c>
    </row>
    <row r="76" spans="1:16" x14ac:dyDescent="0.45">
      <c r="A76" s="48">
        <v>40284</v>
      </c>
      <c r="B76" s="37">
        <v>18.07724</v>
      </c>
      <c r="C76" s="37">
        <v>41.548949999999998</v>
      </c>
      <c r="D76" s="37">
        <v>13.002800000000001</v>
      </c>
      <c r="E76" s="37">
        <v>36.65</v>
      </c>
      <c r="F76" s="37">
        <v>25.53126</v>
      </c>
      <c r="G76" s="37">
        <v>27.554549999999999</v>
      </c>
      <c r="H76" s="37">
        <v>16.526769999999999</v>
      </c>
      <c r="I76" s="37">
        <v>9.1447000000000003</v>
      </c>
      <c r="J76" s="37">
        <v>50.006900000000002</v>
      </c>
      <c r="K76" s="37">
        <v>28.274799999999999</v>
      </c>
      <c r="L76" s="37">
        <v>7.2506599999999999</v>
      </c>
      <c r="M76" s="37">
        <v>7.3777699999999999</v>
      </c>
      <c r="N76" s="37">
        <v>14.492139999999999</v>
      </c>
      <c r="O76" s="37">
        <v>10.84573</v>
      </c>
      <c r="P76" s="38">
        <v>29.29665</v>
      </c>
    </row>
    <row r="77" spans="1:16" x14ac:dyDescent="0.45">
      <c r="A77" s="48">
        <v>40287</v>
      </c>
      <c r="B77" s="37">
        <v>17.400089999999999</v>
      </c>
      <c r="C77" s="37">
        <v>39.968640000000001</v>
      </c>
      <c r="D77" s="37">
        <v>12.6134</v>
      </c>
      <c r="E77" s="37">
        <v>34.090000000000003</v>
      </c>
      <c r="F77" s="37">
        <v>24.909510000000001</v>
      </c>
      <c r="G77" s="37">
        <v>25.874479999999998</v>
      </c>
      <c r="H77" s="37">
        <v>16.35857</v>
      </c>
      <c r="I77" s="37">
        <v>8.8589400000000005</v>
      </c>
      <c r="J77" s="37">
        <v>47.587200000000003</v>
      </c>
      <c r="K77" s="37">
        <v>27.209900000000001</v>
      </c>
      <c r="L77" s="37">
        <v>6.8354200000000001</v>
      </c>
      <c r="M77" s="37">
        <v>7.1371900000000004</v>
      </c>
      <c r="N77" s="37">
        <v>13.76572</v>
      </c>
      <c r="O77" s="37">
        <v>10.41802</v>
      </c>
      <c r="P77" s="38">
        <v>28.74596</v>
      </c>
    </row>
    <row r="78" spans="1:16" x14ac:dyDescent="0.45">
      <c r="A78" s="48">
        <v>40288</v>
      </c>
      <c r="B78" s="37">
        <v>17.812290000000001</v>
      </c>
      <c r="C78" s="37">
        <v>39.178489999999996</v>
      </c>
      <c r="D78" s="37">
        <v>12.7302</v>
      </c>
      <c r="E78" s="37">
        <v>34.42</v>
      </c>
      <c r="F78" s="37">
        <v>24.580269999999999</v>
      </c>
      <c r="G78" s="37">
        <v>26.46247</v>
      </c>
      <c r="H78" s="37">
        <v>16.232430000000001</v>
      </c>
      <c r="I78" s="37">
        <v>8.4874200000000002</v>
      </c>
      <c r="J78" s="37">
        <v>47.721600000000002</v>
      </c>
      <c r="K78" s="37">
        <v>27.3568</v>
      </c>
      <c r="L78" s="37">
        <v>6.8354200000000001</v>
      </c>
      <c r="M78" s="37">
        <v>7.1291700000000002</v>
      </c>
      <c r="N78" s="37">
        <v>13.91104</v>
      </c>
      <c r="O78" s="37">
        <v>10.44858</v>
      </c>
      <c r="P78" s="38">
        <v>29.223230000000001</v>
      </c>
    </row>
    <row r="79" spans="1:16" x14ac:dyDescent="0.45">
      <c r="A79" s="48">
        <v>40289</v>
      </c>
      <c r="B79" s="37">
        <v>17.87114</v>
      </c>
      <c r="C79" s="37">
        <v>39.507719999999999</v>
      </c>
      <c r="D79" s="37">
        <v>12.7302</v>
      </c>
      <c r="E79" s="37">
        <v>34.6</v>
      </c>
      <c r="F79" s="37">
        <v>24.616820000000001</v>
      </c>
      <c r="G79" s="37">
        <v>26.546489999999999</v>
      </c>
      <c r="H79" s="37">
        <v>16.31653</v>
      </c>
      <c r="I79" s="37">
        <v>8.5731699999999993</v>
      </c>
      <c r="J79" s="37">
        <v>48.259300000000003</v>
      </c>
      <c r="K79" s="37">
        <v>27.540400000000002</v>
      </c>
      <c r="L79" s="37">
        <v>6.8993099999999998</v>
      </c>
      <c r="M79" s="37">
        <v>7.1772799999999997</v>
      </c>
      <c r="N79" s="37">
        <v>14.05627</v>
      </c>
      <c r="O79" s="37">
        <v>10.60131</v>
      </c>
      <c r="P79" s="38">
        <v>28.635819999999999</v>
      </c>
    </row>
    <row r="80" spans="1:16" x14ac:dyDescent="0.45">
      <c r="A80" s="48">
        <v>40290</v>
      </c>
      <c r="B80" s="37">
        <v>18.19502</v>
      </c>
      <c r="C80" s="37">
        <v>37.993259999999999</v>
      </c>
      <c r="D80" s="37">
        <v>12.6524</v>
      </c>
      <c r="E80" s="37">
        <v>34.18</v>
      </c>
      <c r="F80" s="37">
        <v>24.14132</v>
      </c>
      <c r="G80" s="37">
        <v>26.12642</v>
      </c>
      <c r="H80" s="37">
        <v>16.190380000000001</v>
      </c>
      <c r="I80" s="37">
        <v>8.2873999999999999</v>
      </c>
      <c r="J80" s="37">
        <v>47.183900000000001</v>
      </c>
      <c r="K80" s="37">
        <v>27.3934</v>
      </c>
      <c r="L80" s="37">
        <v>6.8673700000000002</v>
      </c>
      <c r="M80" s="37">
        <v>7.0409499999999996</v>
      </c>
      <c r="N80" s="37">
        <v>13.802009999999999</v>
      </c>
      <c r="O80" s="37">
        <v>10.54027</v>
      </c>
      <c r="P80" s="38">
        <v>28.268699999999999</v>
      </c>
    </row>
    <row r="81" spans="1:16" x14ac:dyDescent="0.45">
      <c r="A81" s="48">
        <v>40291</v>
      </c>
      <c r="B81" s="37">
        <v>18.695540000000001</v>
      </c>
      <c r="C81" s="37">
        <v>37.664029999999997</v>
      </c>
      <c r="D81" s="37">
        <v>12.6134</v>
      </c>
      <c r="E81" s="37">
        <v>34.46</v>
      </c>
      <c r="F81" s="37">
        <v>24.214490000000001</v>
      </c>
      <c r="G81" s="37">
        <v>26.37846</v>
      </c>
      <c r="H81" s="37">
        <v>16.022189999999998</v>
      </c>
      <c r="I81" s="37">
        <v>8.4016599999999997</v>
      </c>
      <c r="J81" s="37">
        <v>46.982300000000002</v>
      </c>
      <c r="K81" s="37">
        <v>27.430199999999999</v>
      </c>
      <c r="L81" s="37">
        <v>6.8354200000000001</v>
      </c>
      <c r="M81" s="37">
        <v>7.0409499999999996</v>
      </c>
      <c r="N81" s="37">
        <v>13.72935</v>
      </c>
      <c r="O81" s="37">
        <v>10.57084</v>
      </c>
      <c r="P81" s="38">
        <v>27.53445</v>
      </c>
    </row>
    <row r="82" spans="1:16" x14ac:dyDescent="0.45">
      <c r="A82" s="48">
        <v>40294</v>
      </c>
      <c r="B82" s="37">
        <v>18.695540000000001</v>
      </c>
      <c r="C82" s="37">
        <v>38.059100000000001</v>
      </c>
      <c r="D82" s="37">
        <v>13.0806</v>
      </c>
      <c r="E82" s="37">
        <v>35.299999999999997</v>
      </c>
      <c r="F82" s="37">
        <v>24.72654</v>
      </c>
      <c r="G82" s="37">
        <v>26.0425</v>
      </c>
      <c r="H82" s="37">
        <v>16.232430000000001</v>
      </c>
      <c r="I82" s="37">
        <v>8.4016599999999997</v>
      </c>
      <c r="J82" s="37">
        <v>47.049500000000002</v>
      </c>
      <c r="K82" s="37">
        <v>28.238</v>
      </c>
      <c r="L82" s="37">
        <v>7.0909500000000003</v>
      </c>
      <c r="M82" s="37">
        <v>7.1933299999999996</v>
      </c>
      <c r="N82" s="37">
        <v>13.947319999999999</v>
      </c>
      <c r="O82" s="37">
        <v>10.84573</v>
      </c>
      <c r="P82" s="38">
        <v>28.268699999999999</v>
      </c>
    </row>
    <row r="83" spans="1:16" x14ac:dyDescent="0.45">
      <c r="A83" s="48">
        <v>40295</v>
      </c>
      <c r="B83" s="37">
        <v>18.84271</v>
      </c>
      <c r="C83" s="37">
        <v>37.532330000000002</v>
      </c>
      <c r="D83" s="37">
        <v>12.963800000000001</v>
      </c>
      <c r="E83" s="37">
        <v>34.93</v>
      </c>
      <c r="F83" s="37">
        <v>24.872879999999999</v>
      </c>
      <c r="G83" s="37">
        <v>25.832470000000001</v>
      </c>
      <c r="H83" s="37">
        <v>16.148330000000001</v>
      </c>
      <c r="I83" s="37">
        <v>8.1444799999999997</v>
      </c>
      <c r="J83" s="37">
        <v>46.982300000000002</v>
      </c>
      <c r="K83" s="37">
        <v>28.348199999999999</v>
      </c>
      <c r="L83" s="37">
        <v>7.0909500000000003</v>
      </c>
      <c r="M83" s="37">
        <v>7.1291700000000002</v>
      </c>
      <c r="N83" s="37">
        <v>14.01998</v>
      </c>
      <c r="O83" s="37">
        <v>10.90686</v>
      </c>
      <c r="P83" s="38">
        <v>28.41555</v>
      </c>
    </row>
    <row r="84" spans="1:16" x14ac:dyDescent="0.45">
      <c r="A84" s="48">
        <v>40296</v>
      </c>
      <c r="B84" s="37">
        <v>18.489439999999998</v>
      </c>
      <c r="C84" s="37">
        <v>37.005560000000003</v>
      </c>
      <c r="D84" s="37">
        <v>12.7692</v>
      </c>
      <c r="E84" s="37">
        <v>34.700000000000003</v>
      </c>
      <c r="F84" s="37">
        <v>24.65344</v>
      </c>
      <c r="G84" s="37">
        <v>25.412400000000002</v>
      </c>
      <c r="H84" s="37">
        <v>15.938090000000001</v>
      </c>
      <c r="I84" s="37">
        <v>8.0873100000000004</v>
      </c>
      <c r="J84" s="37">
        <v>46.108499999999999</v>
      </c>
      <c r="K84" s="37">
        <v>27.540400000000002</v>
      </c>
      <c r="L84" s="37">
        <v>6.8993099999999998</v>
      </c>
      <c r="M84" s="37">
        <v>6.9928400000000002</v>
      </c>
      <c r="N84" s="37">
        <v>13.76572</v>
      </c>
      <c r="O84" s="37">
        <v>10.631880000000001</v>
      </c>
      <c r="P84" s="38">
        <v>28.635819999999999</v>
      </c>
    </row>
    <row r="85" spans="1:16" x14ac:dyDescent="0.45">
      <c r="A85" s="48">
        <v>40297</v>
      </c>
      <c r="B85" s="37">
        <v>18.253869999999999</v>
      </c>
      <c r="C85" s="37">
        <v>37.46649</v>
      </c>
      <c r="D85" s="37">
        <v>12.535600000000001</v>
      </c>
      <c r="E85" s="37">
        <v>34.83</v>
      </c>
      <c r="F85" s="37">
        <v>24.580269999999999</v>
      </c>
      <c r="G85" s="37">
        <v>24.782299999999999</v>
      </c>
      <c r="H85" s="37">
        <v>15.85399</v>
      </c>
      <c r="I85" s="37">
        <v>8.2302300000000006</v>
      </c>
      <c r="J85" s="37">
        <v>46.175699999999999</v>
      </c>
      <c r="K85" s="37">
        <v>27.613800000000001</v>
      </c>
      <c r="L85" s="37">
        <v>6.8673700000000002</v>
      </c>
      <c r="M85" s="37">
        <v>6.98482</v>
      </c>
      <c r="N85" s="37">
        <v>13.693059999999999</v>
      </c>
      <c r="O85" s="37">
        <v>10.60131</v>
      </c>
      <c r="P85" s="38">
        <v>28.085139999999999</v>
      </c>
    </row>
    <row r="86" spans="1:16" x14ac:dyDescent="0.45">
      <c r="A86" s="48">
        <v>40298</v>
      </c>
      <c r="B86" s="37">
        <v>18.312809999999999</v>
      </c>
      <c r="C86" s="37">
        <v>37.07141</v>
      </c>
      <c r="D86" s="37">
        <v>12.457700000000001</v>
      </c>
      <c r="E86" s="37">
        <v>34.090000000000003</v>
      </c>
      <c r="F86" s="37">
        <v>24.507100000000001</v>
      </c>
      <c r="G86" s="37">
        <v>24.69829</v>
      </c>
      <c r="H86" s="37">
        <v>16.947340000000001</v>
      </c>
      <c r="I86" s="37">
        <v>8.2588200000000001</v>
      </c>
      <c r="J86" s="37">
        <v>45.033099999999997</v>
      </c>
      <c r="K86" s="37">
        <v>28.274799999999999</v>
      </c>
      <c r="L86" s="37">
        <v>6.8673700000000002</v>
      </c>
      <c r="M86" s="37">
        <v>7.0970899999999997</v>
      </c>
      <c r="N86" s="37">
        <v>13.693059999999999</v>
      </c>
      <c r="O86" s="37">
        <v>10.60131</v>
      </c>
      <c r="P86" s="38">
        <v>27.90157</v>
      </c>
    </row>
    <row r="87" spans="1:16" x14ac:dyDescent="0.45">
      <c r="A87" s="48">
        <v>40301</v>
      </c>
      <c r="B87" s="37">
        <v>17.90061</v>
      </c>
      <c r="C87" s="37">
        <v>36.215409999999999</v>
      </c>
      <c r="D87" s="37">
        <v>12.302</v>
      </c>
      <c r="E87" s="37">
        <v>33.53</v>
      </c>
      <c r="F87" s="37">
        <v>24.397379999999998</v>
      </c>
      <c r="G87" s="37">
        <v>24.110289999999999</v>
      </c>
      <c r="H87" s="37">
        <v>16.863250000000001</v>
      </c>
      <c r="I87" s="37">
        <v>8.1730599999999995</v>
      </c>
      <c r="J87" s="37">
        <v>45.167499999999997</v>
      </c>
      <c r="K87" s="37">
        <v>28.054500000000001</v>
      </c>
      <c r="L87" s="37">
        <v>6.80349</v>
      </c>
      <c r="M87" s="37">
        <v>7.1211500000000001</v>
      </c>
      <c r="N87" s="37">
        <v>13.6204</v>
      </c>
      <c r="O87" s="37">
        <v>10.60131</v>
      </c>
      <c r="P87" s="38">
        <v>28.121849999999998</v>
      </c>
    </row>
    <row r="88" spans="1:16" x14ac:dyDescent="0.45">
      <c r="A88" s="48">
        <v>40302</v>
      </c>
      <c r="B88" s="37">
        <v>18.13617</v>
      </c>
      <c r="C88" s="37">
        <v>35.688639999999999</v>
      </c>
      <c r="D88" s="37">
        <v>12.1852</v>
      </c>
      <c r="E88" s="37">
        <v>32.229999999999997</v>
      </c>
      <c r="F88" s="37">
        <v>24.25104</v>
      </c>
      <c r="G88" s="37">
        <v>23.900259999999999</v>
      </c>
      <c r="H88" s="37">
        <v>16.526769999999999</v>
      </c>
      <c r="I88" s="37">
        <v>8.0587599999999995</v>
      </c>
      <c r="J88" s="37">
        <v>44.831499999999998</v>
      </c>
      <c r="K88" s="37">
        <v>28.017700000000001</v>
      </c>
      <c r="L88" s="37">
        <v>6.7715399999999999</v>
      </c>
      <c r="M88" s="37">
        <v>7.0730300000000002</v>
      </c>
      <c r="N88" s="37">
        <v>13.6204</v>
      </c>
      <c r="O88" s="37">
        <v>10.54027</v>
      </c>
      <c r="P88" s="38">
        <v>27.571159999999999</v>
      </c>
    </row>
    <row r="89" spans="1:16" x14ac:dyDescent="0.45">
      <c r="A89" s="48">
        <v>40303</v>
      </c>
      <c r="B89" s="37">
        <v>16.958500000000001</v>
      </c>
      <c r="C89" s="37">
        <v>34.240020000000001</v>
      </c>
      <c r="D89" s="37">
        <v>11.445499999999999</v>
      </c>
      <c r="E89" s="37">
        <v>30.79</v>
      </c>
      <c r="F89" s="37">
        <v>23.55611</v>
      </c>
      <c r="G89" s="37">
        <v>22.68216</v>
      </c>
      <c r="H89" s="37">
        <v>15.938090000000001</v>
      </c>
      <c r="I89" s="37">
        <v>7.6015199999999998</v>
      </c>
      <c r="J89" s="37">
        <v>43.688800000000001</v>
      </c>
      <c r="K89" s="37">
        <v>27.650500000000001</v>
      </c>
      <c r="L89" s="37">
        <v>6.48407</v>
      </c>
      <c r="M89" s="37">
        <v>6.8324499999999997</v>
      </c>
      <c r="N89" s="37">
        <v>13.184530000000001</v>
      </c>
      <c r="O89" s="37">
        <v>10.326420000000001</v>
      </c>
      <c r="P89" s="38">
        <v>25.662109999999998</v>
      </c>
    </row>
    <row r="90" spans="1:16" x14ac:dyDescent="0.45">
      <c r="A90" s="48">
        <v>40304</v>
      </c>
      <c r="B90" s="37">
        <v>16.840710000000001</v>
      </c>
      <c r="C90" s="37">
        <v>34.240020000000001</v>
      </c>
      <c r="D90" s="37">
        <v>11.484500000000001</v>
      </c>
      <c r="E90" s="37">
        <v>29.73</v>
      </c>
      <c r="F90" s="37">
        <v>23.08062</v>
      </c>
      <c r="G90" s="37">
        <v>22.640149999999998</v>
      </c>
      <c r="H90" s="37">
        <v>15.72776</v>
      </c>
      <c r="I90" s="37">
        <v>7.51579</v>
      </c>
      <c r="J90" s="37">
        <v>42.546199999999999</v>
      </c>
      <c r="K90" s="37">
        <v>27.246600000000001</v>
      </c>
      <c r="L90" s="37">
        <v>6.4521300000000004</v>
      </c>
      <c r="M90" s="37">
        <v>6.7362200000000003</v>
      </c>
      <c r="N90" s="37">
        <v>13.00292</v>
      </c>
      <c r="O90" s="37">
        <v>10.1736</v>
      </c>
      <c r="P90" s="38">
        <v>23.899899999999999</v>
      </c>
    </row>
    <row r="91" spans="1:16" x14ac:dyDescent="0.45">
      <c r="A91" s="48">
        <v>40305</v>
      </c>
      <c r="B91" s="37">
        <v>16.958500000000001</v>
      </c>
      <c r="C91" s="37">
        <v>34.17418</v>
      </c>
      <c r="D91" s="37">
        <v>11.523400000000001</v>
      </c>
      <c r="E91" s="37">
        <v>29.63</v>
      </c>
      <c r="F91" s="37">
        <v>23.08062</v>
      </c>
      <c r="G91" s="37">
        <v>24.194299999999998</v>
      </c>
      <c r="H91" s="37">
        <v>16.064240000000002</v>
      </c>
      <c r="I91" s="37">
        <v>7.4300600000000001</v>
      </c>
      <c r="J91" s="37">
        <v>42.478999999999999</v>
      </c>
      <c r="K91" s="37">
        <v>26.622399999999999</v>
      </c>
      <c r="L91" s="37">
        <v>6.3882500000000002</v>
      </c>
      <c r="M91" s="37">
        <v>6.6800899999999999</v>
      </c>
      <c r="N91" s="37">
        <v>12.74874</v>
      </c>
      <c r="O91" s="37">
        <v>10.11256</v>
      </c>
      <c r="P91" s="38">
        <v>24.634150000000002</v>
      </c>
    </row>
    <row r="92" spans="1:16" x14ac:dyDescent="0.45">
      <c r="A92" s="48">
        <v>40308</v>
      </c>
      <c r="B92" s="37">
        <v>17.665040000000001</v>
      </c>
      <c r="C92" s="37">
        <v>33.713250000000002</v>
      </c>
      <c r="D92" s="37">
        <v>11.6791</v>
      </c>
      <c r="E92" s="37">
        <v>30.65</v>
      </c>
      <c r="F92" s="37">
        <v>23.409770000000002</v>
      </c>
      <c r="G92" s="37">
        <v>24.194299999999998</v>
      </c>
      <c r="H92" s="37">
        <v>15.98014</v>
      </c>
      <c r="I92" s="37">
        <v>7.7729799999999996</v>
      </c>
      <c r="J92" s="37">
        <v>44.764200000000002</v>
      </c>
      <c r="K92" s="37">
        <v>26.9161</v>
      </c>
      <c r="L92" s="37">
        <v>6.5479599999999998</v>
      </c>
      <c r="M92" s="37">
        <v>6.7843400000000003</v>
      </c>
      <c r="N92" s="37">
        <v>12.71237</v>
      </c>
      <c r="O92" s="37">
        <v>10.26529</v>
      </c>
      <c r="P92" s="38">
        <v>25.111419999999999</v>
      </c>
    </row>
    <row r="93" spans="1:16" x14ac:dyDescent="0.45">
      <c r="A93" s="48">
        <v>40309</v>
      </c>
      <c r="B93" s="37">
        <v>17.13513</v>
      </c>
      <c r="C93" s="37">
        <v>32.396329999999999</v>
      </c>
      <c r="D93" s="37">
        <v>11.757</v>
      </c>
      <c r="E93" s="37">
        <v>29.91</v>
      </c>
      <c r="F93" s="37">
        <v>23.007439999999999</v>
      </c>
      <c r="G93" s="37">
        <v>25.03434</v>
      </c>
      <c r="H93" s="37">
        <v>15.51751</v>
      </c>
      <c r="I93" s="37">
        <v>7.7158300000000004</v>
      </c>
      <c r="J93" s="37">
        <v>43.352699999999999</v>
      </c>
      <c r="K93" s="37">
        <v>27.466899999999999</v>
      </c>
      <c r="L93" s="37">
        <v>6.4521300000000004</v>
      </c>
      <c r="M93" s="37">
        <v>6.7041399999999998</v>
      </c>
      <c r="N93" s="37">
        <v>12.821400000000001</v>
      </c>
      <c r="O93" s="37">
        <v>10.082000000000001</v>
      </c>
      <c r="P93" s="38">
        <v>24.303740000000001</v>
      </c>
    </row>
    <row r="94" spans="1:16" x14ac:dyDescent="0.45">
      <c r="A94" s="48">
        <v>40310</v>
      </c>
      <c r="B94" s="37">
        <v>16.840710000000001</v>
      </c>
      <c r="C94" s="37">
        <v>32.26464</v>
      </c>
      <c r="D94" s="37">
        <v>11.6013</v>
      </c>
      <c r="E94" s="37">
        <v>29.49</v>
      </c>
      <c r="F94" s="37">
        <v>23.190329999999999</v>
      </c>
      <c r="G94" s="37">
        <v>24.782299999999999</v>
      </c>
      <c r="H94" s="37">
        <v>15.85399</v>
      </c>
      <c r="I94" s="37">
        <v>7.91587</v>
      </c>
      <c r="J94" s="37">
        <v>43.688800000000001</v>
      </c>
      <c r="K94" s="37">
        <v>27.834099999999999</v>
      </c>
      <c r="L94" s="37">
        <v>6.5799000000000003</v>
      </c>
      <c r="M94" s="37">
        <v>6.7602799999999998</v>
      </c>
      <c r="N94" s="37">
        <v>12.821400000000001</v>
      </c>
      <c r="O94" s="37">
        <v>10.11256</v>
      </c>
      <c r="P94" s="38">
        <v>24.230309999999999</v>
      </c>
    </row>
    <row r="95" spans="1:16" x14ac:dyDescent="0.45">
      <c r="A95" s="48">
        <v>40311</v>
      </c>
      <c r="B95" s="37">
        <v>17.25292</v>
      </c>
      <c r="C95" s="37">
        <v>33.844949999999997</v>
      </c>
      <c r="D95" s="37">
        <v>11.912699999999999</v>
      </c>
      <c r="E95" s="37">
        <v>30.28</v>
      </c>
      <c r="F95" s="37">
        <v>23.446390000000001</v>
      </c>
      <c r="G95" s="37">
        <v>25.412400000000002</v>
      </c>
      <c r="H95" s="37">
        <v>16.610859999999999</v>
      </c>
      <c r="I95" s="37">
        <v>8.2016500000000008</v>
      </c>
      <c r="J95" s="37">
        <v>44.360999999999997</v>
      </c>
      <c r="K95" s="37">
        <v>28.348199999999999</v>
      </c>
      <c r="L95" s="37">
        <v>6.8993099999999998</v>
      </c>
      <c r="M95" s="37">
        <v>6.95275</v>
      </c>
      <c r="N95" s="37">
        <v>13.51145</v>
      </c>
      <c r="O95" s="37">
        <v>10.50971</v>
      </c>
      <c r="P95" s="38">
        <v>24.450589999999998</v>
      </c>
    </row>
    <row r="96" spans="1:16" x14ac:dyDescent="0.45">
      <c r="A96" s="48">
        <v>40312</v>
      </c>
      <c r="B96" s="37">
        <v>17.04682</v>
      </c>
      <c r="C96" s="37">
        <v>33.844949999999997</v>
      </c>
      <c r="D96" s="37">
        <v>11.8348</v>
      </c>
      <c r="E96" s="37">
        <v>30.93</v>
      </c>
      <c r="F96" s="37">
        <v>23.190329999999999</v>
      </c>
      <c r="G96" s="37">
        <v>25.496420000000001</v>
      </c>
      <c r="H96" s="37">
        <v>16.652909999999999</v>
      </c>
      <c r="I96" s="37">
        <v>8.0873100000000004</v>
      </c>
      <c r="J96" s="37">
        <v>44.024900000000002</v>
      </c>
      <c r="K96" s="37">
        <v>28.2013</v>
      </c>
      <c r="L96" s="37">
        <v>6.6437799999999996</v>
      </c>
      <c r="M96" s="37">
        <v>6.9768100000000004</v>
      </c>
      <c r="N96" s="37">
        <v>13.6204</v>
      </c>
      <c r="O96" s="37">
        <v>10.50971</v>
      </c>
      <c r="P96" s="38">
        <v>26.13937</v>
      </c>
    </row>
    <row r="97" spans="1:16" x14ac:dyDescent="0.45">
      <c r="A97" s="48">
        <v>40315</v>
      </c>
      <c r="B97" s="37">
        <v>16.13409</v>
      </c>
      <c r="C97" s="37">
        <v>32.593870000000003</v>
      </c>
      <c r="D97" s="37">
        <v>11.6013</v>
      </c>
      <c r="E97" s="37">
        <v>30.1</v>
      </c>
      <c r="F97" s="37">
        <v>23.007439999999999</v>
      </c>
      <c r="G97" s="37">
        <v>25.11835</v>
      </c>
      <c r="H97" s="37">
        <v>15.896039999999999</v>
      </c>
      <c r="I97" s="37">
        <v>7.7158300000000004</v>
      </c>
      <c r="J97" s="37">
        <v>42.882199999999997</v>
      </c>
      <c r="K97" s="37">
        <v>27.7239</v>
      </c>
      <c r="L97" s="37">
        <v>6.48407</v>
      </c>
      <c r="M97" s="37">
        <v>6.8404800000000003</v>
      </c>
      <c r="N97" s="37">
        <v>13.148239999999999</v>
      </c>
      <c r="O97" s="37">
        <v>10.29585</v>
      </c>
      <c r="P97" s="38">
        <v>27.938279999999999</v>
      </c>
    </row>
    <row r="98" spans="1:16" x14ac:dyDescent="0.45">
      <c r="A98" s="48">
        <v>40316</v>
      </c>
      <c r="B98" s="37">
        <v>16.075240000000001</v>
      </c>
      <c r="C98" s="37">
        <v>32.198790000000002</v>
      </c>
      <c r="D98" s="37">
        <v>11.445499999999999</v>
      </c>
      <c r="E98" s="37">
        <v>30.65</v>
      </c>
      <c r="F98" s="37">
        <v>23.117159999999998</v>
      </c>
      <c r="G98" s="37">
        <v>25.03434</v>
      </c>
      <c r="H98" s="37">
        <v>15.7698</v>
      </c>
      <c r="I98" s="37">
        <v>7.8301400000000001</v>
      </c>
      <c r="J98" s="37">
        <v>42.814999999999998</v>
      </c>
      <c r="K98" s="37">
        <v>27.907499999999999</v>
      </c>
      <c r="L98" s="37">
        <v>6.5479599999999998</v>
      </c>
      <c r="M98" s="37">
        <v>6.8324499999999997</v>
      </c>
      <c r="N98" s="37">
        <v>13.07558</v>
      </c>
      <c r="O98" s="37">
        <v>10.29585</v>
      </c>
      <c r="P98" s="38">
        <v>26.065940000000001</v>
      </c>
    </row>
    <row r="99" spans="1:16" x14ac:dyDescent="0.45">
      <c r="A99" s="48">
        <v>40317</v>
      </c>
      <c r="B99" s="37">
        <v>15.81021</v>
      </c>
      <c r="C99" s="37">
        <v>32.923099999999998</v>
      </c>
      <c r="D99" s="37">
        <v>11.2509</v>
      </c>
      <c r="E99" s="37">
        <v>31.68</v>
      </c>
      <c r="F99" s="37">
        <v>22.897729999999999</v>
      </c>
      <c r="G99" s="37">
        <v>25.24438</v>
      </c>
      <c r="H99" s="37">
        <v>15.7698</v>
      </c>
      <c r="I99" s="37">
        <v>7.9444499999999998</v>
      </c>
      <c r="J99" s="37">
        <v>43.0167</v>
      </c>
      <c r="K99" s="37">
        <v>27.981000000000002</v>
      </c>
      <c r="L99" s="37">
        <v>6.5160099999999996</v>
      </c>
      <c r="M99" s="37">
        <v>6.8083999999999998</v>
      </c>
      <c r="N99" s="37">
        <v>12.96663</v>
      </c>
      <c r="O99" s="37">
        <v>10.29585</v>
      </c>
      <c r="P99" s="38">
        <v>26.800190000000001</v>
      </c>
    </row>
    <row r="100" spans="1:16" x14ac:dyDescent="0.45">
      <c r="A100" s="48">
        <v>40318</v>
      </c>
      <c r="B100" s="37">
        <v>15.30969</v>
      </c>
      <c r="C100" s="37">
        <v>31.935410000000001</v>
      </c>
      <c r="D100" s="37">
        <v>10.900499999999999</v>
      </c>
      <c r="E100" s="37">
        <v>30.56</v>
      </c>
      <c r="F100" s="37">
        <v>22.531949999999998</v>
      </c>
      <c r="G100" s="37">
        <v>24.782299999999999</v>
      </c>
      <c r="H100" s="37">
        <v>15.43342</v>
      </c>
      <c r="I100" s="37">
        <v>7.7158300000000004</v>
      </c>
      <c r="J100" s="37">
        <v>41.537999999999997</v>
      </c>
      <c r="K100" s="37">
        <v>27.173100000000002</v>
      </c>
      <c r="L100" s="37">
        <v>6.3882500000000002</v>
      </c>
      <c r="M100" s="37">
        <v>6.7121700000000004</v>
      </c>
      <c r="N100" s="37">
        <v>12.74874</v>
      </c>
      <c r="O100" s="37">
        <v>10.143039999999999</v>
      </c>
      <c r="P100" s="38">
        <v>25.77224</v>
      </c>
    </row>
    <row r="101" spans="1:16" x14ac:dyDescent="0.45">
      <c r="A101" s="48">
        <v>40319</v>
      </c>
      <c r="B101" s="37">
        <v>15.30969</v>
      </c>
      <c r="C101" s="37">
        <v>29.828330000000001</v>
      </c>
      <c r="D101" s="37">
        <v>10.900499999999999</v>
      </c>
      <c r="E101" s="37">
        <v>29.35</v>
      </c>
      <c r="F101" s="37">
        <v>22.129549999999998</v>
      </c>
      <c r="G101" s="37">
        <v>23.774239999999999</v>
      </c>
      <c r="H101" s="37">
        <v>15.349320000000001</v>
      </c>
      <c r="I101" s="37">
        <v>7.51579</v>
      </c>
      <c r="J101" s="37">
        <v>40.328200000000002</v>
      </c>
      <c r="K101" s="37">
        <v>26.5122</v>
      </c>
      <c r="L101" s="37">
        <v>6.1646599999999996</v>
      </c>
      <c r="M101" s="37">
        <v>6.5357399999999997</v>
      </c>
      <c r="N101" s="37">
        <v>12.421810000000001</v>
      </c>
      <c r="O101" s="37">
        <v>9.86815</v>
      </c>
      <c r="P101" s="38">
        <v>24.230309999999999</v>
      </c>
    </row>
    <row r="102" spans="1:16" x14ac:dyDescent="0.45">
      <c r="A102" s="48">
        <v>40322</v>
      </c>
      <c r="B102" s="37">
        <v>15.98692</v>
      </c>
      <c r="C102" s="37">
        <v>30.816020000000002</v>
      </c>
      <c r="D102" s="37">
        <v>11.1341</v>
      </c>
      <c r="E102" s="37">
        <v>30.75</v>
      </c>
      <c r="F102" s="37">
        <v>22.166090000000001</v>
      </c>
      <c r="G102" s="37">
        <v>24.866320000000002</v>
      </c>
      <c r="H102" s="37">
        <v>15.18113</v>
      </c>
      <c r="I102" s="37">
        <v>7.7158300000000004</v>
      </c>
      <c r="J102" s="37">
        <v>41.269100000000002</v>
      </c>
      <c r="K102" s="37">
        <v>27.173100000000002</v>
      </c>
      <c r="L102" s="37">
        <v>6.24132</v>
      </c>
      <c r="M102" s="37">
        <v>6.5758400000000004</v>
      </c>
      <c r="N102" s="37">
        <v>12.45819</v>
      </c>
      <c r="O102" s="37">
        <v>9.9903099999999991</v>
      </c>
      <c r="P102" s="38">
        <v>24.046749999999999</v>
      </c>
    </row>
    <row r="103" spans="1:16" x14ac:dyDescent="0.45">
      <c r="A103" s="48">
        <v>40323</v>
      </c>
      <c r="B103" s="37">
        <v>15.486409999999999</v>
      </c>
      <c r="C103" s="37">
        <v>28.873560000000001</v>
      </c>
      <c r="D103" s="37">
        <v>10.7448</v>
      </c>
      <c r="E103" s="37">
        <v>31.12</v>
      </c>
      <c r="F103" s="37">
        <v>21.727219999999999</v>
      </c>
      <c r="G103" s="37">
        <v>23.186150000000001</v>
      </c>
      <c r="H103" s="37">
        <v>14.970789999999999</v>
      </c>
      <c r="I103" s="37">
        <v>7.4586399999999999</v>
      </c>
      <c r="J103" s="37">
        <v>40.1937</v>
      </c>
      <c r="K103" s="37">
        <v>26.438800000000001</v>
      </c>
      <c r="L103" s="37">
        <v>5.9666199999999998</v>
      </c>
      <c r="M103" s="37">
        <v>6.3513000000000002</v>
      </c>
      <c r="N103" s="37">
        <v>12.022309999999999</v>
      </c>
      <c r="O103" s="37">
        <v>9.6848500000000008</v>
      </c>
      <c r="P103" s="38">
        <v>22.468109999999999</v>
      </c>
    </row>
    <row r="104" spans="1:16" x14ac:dyDescent="0.45">
      <c r="A104" s="48">
        <v>40324</v>
      </c>
      <c r="B104" s="37">
        <v>15.83967</v>
      </c>
      <c r="C104" s="37">
        <v>29.76248</v>
      </c>
      <c r="D104" s="37">
        <v>10.900499999999999</v>
      </c>
      <c r="E104" s="37">
        <v>32.369999999999997</v>
      </c>
      <c r="F104" s="37">
        <v>21.946660000000001</v>
      </c>
      <c r="G104" s="37">
        <v>23.102229999999999</v>
      </c>
      <c r="H104" s="37">
        <v>15.81195</v>
      </c>
      <c r="I104" s="37">
        <v>7.6872499999999997</v>
      </c>
      <c r="J104" s="37">
        <v>41.336300000000001</v>
      </c>
      <c r="K104" s="37">
        <v>27.503599999999999</v>
      </c>
      <c r="L104" s="37">
        <v>6.1710500000000001</v>
      </c>
      <c r="M104" s="37">
        <v>6.3513000000000002</v>
      </c>
      <c r="N104" s="37">
        <v>11.876989999999999</v>
      </c>
      <c r="O104" s="37">
        <v>9.86815</v>
      </c>
      <c r="P104" s="38">
        <v>22.651669999999999</v>
      </c>
    </row>
    <row r="105" spans="1:16" x14ac:dyDescent="0.45">
      <c r="A105" s="48">
        <v>40325</v>
      </c>
      <c r="B105" s="37">
        <v>15.957459999999999</v>
      </c>
      <c r="C105" s="37">
        <v>30.55264</v>
      </c>
      <c r="D105" s="37">
        <v>10.978400000000001</v>
      </c>
      <c r="E105" s="37">
        <v>32.28</v>
      </c>
      <c r="F105" s="37">
        <v>22.056380000000001</v>
      </c>
      <c r="G105" s="37">
        <v>23.984269999999999</v>
      </c>
      <c r="H105" s="37">
        <v>15.559559999999999</v>
      </c>
      <c r="I105" s="37">
        <v>7.91587</v>
      </c>
      <c r="J105" s="37">
        <v>41.941299999999998</v>
      </c>
      <c r="K105" s="37">
        <v>27.246600000000001</v>
      </c>
      <c r="L105" s="37">
        <v>6.0880099999999997</v>
      </c>
      <c r="M105" s="37">
        <v>6.4475300000000004</v>
      </c>
      <c r="N105" s="37">
        <v>12.20392</v>
      </c>
      <c r="O105" s="37">
        <v>9.8986199999999993</v>
      </c>
      <c r="P105" s="38">
        <v>24.230309999999999</v>
      </c>
    </row>
    <row r="106" spans="1:16" x14ac:dyDescent="0.45">
      <c r="A106" s="48">
        <v>40326</v>
      </c>
      <c r="B106" s="37">
        <v>15.83967</v>
      </c>
      <c r="C106" s="37">
        <v>31.540330000000001</v>
      </c>
      <c r="D106" s="37">
        <v>11.173</v>
      </c>
      <c r="E106" s="37">
        <v>31.82</v>
      </c>
      <c r="F106" s="37">
        <v>22.202719999999999</v>
      </c>
      <c r="G106" s="37">
        <v>24.194299999999998</v>
      </c>
      <c r="H106" s="37">
        <v>15.43342</v>
      </c>
      <c r="I106" s="37">
        <v>7.8872999999999998</v>
      </c>
      <c r="J106" s="37">
        <v>42.008499999999998</v>
      </c>
      <c r="K106" s="37">
        <v>26.732500000000002</v>
      </c>
      <c r="L106" s="37">
        <v>6.0752199999999998</v>
      </c>
      <c r="M106" s="37">
        <v>6.5197000000000003</v>
      </c>
      <c r="N106" s="37">
        <v>12.34915</v>
      </c>
      <c r="O106" s="37">
        <v>10.051439999999999</v>
      </c>
      <c r="P106" s="38">
        <v>24.964569999999998</v>
      </c>
    </row>
    <row r="107" spans="1:16" x14ac:dyDescent="0.45">
      <c r="A107" s="48">
        <v>40329</v>
      </c>
      <c r="B107" s="37">
        <v>15.89861</v>
      </c>
      <c r="C107" s="37">
        <v>32.001249999999999</v>
      </c>
      <c r="D107" s="37">
        <v>11.757</v>
      </c>
      <c r="E107" s="37">
        <v>31.86</v>
      </c>
      <c r="F107" s="37">
        <v>22.348980000000001</v>
      </c>
      <c r="G107" s="37">
        <v>24.782299999999999</v>
      </c>
      <c r="H107" s="37">
        <v>15.349320000000001</v>
      </c>
      <c r="I107" s="37">
        <v>7.9444499999999998</v>
      </c>
      <c r="J107" s="37">
        <v>42.075699999999998</v>
      </c>
      <c r="K107" s="37">
        <v>26.9528</v>
      </c>
      <c r="L107" s="37">
        <v>6.1902100000000004</v>
      </c>
      <c r="M107" s="37">
        <v>6.5998900000000003</v>
      </c>
      <c r="N107" s="37">
        <v>12.34915</v>
      </c>
      <c r="O107" s="37">
        <v>10.1736</v>
      </c>
      <c r="P107" s="38">
        <v>25.515250000000002</v>
      </c>
    </row>
    <row r="108" spans="1:16" x14ac:dyDescent="0.45">
      <c r="A108" s="48">
        <v>40330</v>
      </c>
      <c r="B108" s="37">
        <v>15.927989999999999</v>
      </c>
      <c r="C108" s="37">
        <v>31.606179999999998</v>
      </c>
      <c r="D108" s="37">
        <v>11.523400000000001</v>
      </c>
      <c r="E108" s="37">
        <v>31.49</v>
      </c>
      <c r="F108" s="37">
        <v>22.019829999999999</v>
      </c>
      <c r="G108" s="37">
        <v>24.824310000000001</v>
      </c>
      <c r="H108" s="37">
        <v>15.265219999999999</v>
      </c>
      <c r="I108" s="37">
        <v>7.9730299999999996</v>
      </c>
      <c r="J108" s="37">
        <v>41.403599999999997</v>
      </c>
      <c r="K108" s="37">
        <v>26.5489</v>
      </c>
      <c r="L108" s="37">
        <v>6.0688399999999998</v>
      </c>
      <c r="M108" s="37">
        <v>6.5437599999999998</v>
      </c>
      <c r="N108" s="37">
        <v>12.0586</v>
      </c>
      <c r="O108" s="37">
        <v>9.9291800000000006</v>
      </c>
      <c r="P108" s="38">
        <v>27.277460000000001</v>
      </c>
    </row>
    <row r="109" spans="1:16" x14ac:dyDescent="0.45">
      <c r="A109" s="48">
        <v>40331</v>
      </c>
      <c r="B109" s="37">
        <v>15.75136</v>
      </c>
      <c r="C109" s="37">
        <v>30.91479</v>
      </c>
      <c r="D109" s="37">
        <v>11.212</v>
      </c>
      <c r="E109" s="37">
        <v>31.07</v>
      </c>
      <c r="F109" s="37">
        <v>21.80031</v>
      </c>
      <c r="G109" s="37">
        <v>24.488350000000001</v>
      </c>
      <c r="H109" s="37">
        <v>14.970789999999999</v>
      </c>
      <c r="I109" s="37">
        <v>7.8587199999999999</v>
      </c>
      <c r="J109" s="37">
        <v>41.605200000000004</v>
      </c>
      <c r="K109" s="37">
        <v>26.622399999999999</v>
      </c>
      <c r="L109" s="37">
        <v>5.9921699999999998</v>
      </c>
      <c r="M109" s="37">
        <v>6.4635600000000002</v>
      </c>
      <c r="N109" s="37">
        <v>11.985939999999999</v>
      </c>
      <c r="O109" s="37">
        <v>9.8986199999999993</v>
      </c>
      <c r="P109" s="38">
        <v>26.800190000000001</v>
      </c>
    </row>
    <row r="110" spans="1:16" x14ac:dyDescent="0.45">
      <c r="A110" s="48">
        <v>40332</v>
      </c>
      <c r="B110" s="37">
        <v>16.10463</v>
      </c>
      <c r="C110" s="37">
        <v>31.408639999999998</v>
      </c>
      <c r="D110" s="37">
        <v>11.6013</v>
      </c>
      <c r="E110" s="37">
        <v>31.72</v>
      </c>
      <c r="F110" s="37">
        <v>22.129549999999998</v>
      </c>
      <c r="G110" s="37">
        <v>24.656279999999999</v>
      </c>
      <c r="H110" s="37">
        <v>15.265219999999999</v>
      </c>
      <c r="I110" s="37">
        <v>7.9730299999999996</v>
      </c>
      <c r="J110" s="37">
        <v>42.142899999999997</v>
      </c>
      <c r="K110" s="37">
        <v>27.209900000000001</v>
      </c>
      <c r="L110" s="37">
        <v>6.2157600000000004</v>
      </c>
      <c r="M110" s="37">
        <v>6.6239499999999998</v>
      </c>
      <c r="N110" s="37">
        <v>12.385529999999999</v>
      </c>
      <c r="O110" s="37">
        <v>10.1736</v>
      </c>
      <c r="P110" s="38">
        <v>26.506489999999999</v>
      </c>
    </row>
    <row r="111" spans="1:16" x14ac:dyDescent="0.45">
      <c r="A111" s="48">
        <v>40333</v>
      </c>
      <c r="B111" s="37">
        <v>16.045780000000001</v>
      </c>
      <c r="C111" s="37">
        <v>31.30987</v>
      </c>
      <c r="D111" s="37">
        <v>11.406599999999999</v>
      </c>
      <c r="E111" s="37">
        <v>31.35</v>
      </c>
      <c r="F111" s="37">
        <v>22.129549999999998</v>
      </c>
      <c r="G111" s="37">
        <v>24.488350000000001</v>
      </c>
      <c r="H111" s="37">
        <v>15.09703</v>
      </c>
      <c r="I111" s="37">
        <v>7.9444499999999998</v>
      </c>
      <c r="J111" s="37">
        <v>42.210099999999997</v>
      </c>
      <c r="K111" s="37">
        <v>27.062999999999999</v>
      </c>
      <c r="L111" s="37">
        <v>6.1582800000000004</v>
      </c>
      <c r="M111" s="37">
        <v>6.5838599999999996</v>
      </c>
      <c r="N111" s="37">
        <v>12.20392</v>
      </c>
      <c r="O111" s="37">
        <v>10.051439999999999</v>
      </c>
      <c r="P111" s="38">
        <v>26.800190000000001</v>
      </c>
    </row>
    <row r="112" spans="1:16" x14ac:dyDescent="0.45">
      <c r="A112" s="48">
        <v>40336</v>
      </c>
      <c r="B112" s="37">
        <v>15.39809</v>
      </c>
      <c r="C112" s="37">
        <v>30.256329999999998</v>
      </c>
      <c r="D112" s="37">
        <v>11.0562</v>
      </c>
      <c r="E112" s="37">
        <v>31.12</v>
      </c>
      <c r="F112" s="37">
        <v>21.80031</v>
      </c>
      <c r="G112" s="37">
        <v>23.732230000000001</v>
      </c>
      <c r="H112" s="37">
        <v>14.718500000000001</v>
      </c>
      <c r="I112" s="37">
        <v>7.5443699999999998</v>
      </c>
      <c r="J112" s="37">
        <v>41.000300000000003</v>
      </c>
      <c r="K112" s="37">
        <v>26.5489</v>
      </c>
      <c r="L112" s="37">
        <v>5.9666199999999998</v>
      </c>
      <c r="M112" s="37">
        <v>6.47159</v>
      </c>
      <c r="N112" s="37">
        <v>11.84071</v>
      </c>
      <c r="O112" s="37">
        <v>9.8986199999999993</v>
      </c>
      <c r="P112" s="38">
        <v>25.698820000000001</v>
      </c>
    </row>
    <row r="113" spans="1:16" x14ac:dyDescent="0.45">
      <c r="A113" s="48">
        <v>40337</v>
      </c>
      <c r="B113" s="37">
        <v>15.33916</v>
      </c>
      <c r="C113" s="37">
        <v>30.058789999999998</v>
      </c>
      <c r="D113" s="37">
        <v>10.900499999999999</v>
      </c>
      <c r="E113" s="37">
        <v>33.26</v>
      </c>
      <c r="F113" s="37">
        <v>21.80031</v>
      </c>
      <c r="G113" s="37">
        <v>23.774239999999999</v>
      </c>
      <c r="H113" s="37">
        <v>14.928739999999999</v>
      </c>
      <c r="I113" s="37">
        <v>7.6015199999999998</v>
      </c>
      <c r="J113" s="37">
        <v>40.933100000000003</v>
      </c>
      <c r="K113" s="37">
        <v>26.1083</v>
      </c>
      <c r="L113" s="37">
        <v>5.9857899999999997</v>
      </c>
      <c r="M113" s="37">
        <v>6.4796100000000001</v>
      </c>
      <c r="N113" s="37">
        <v>12.131259999999999</v>
      </c>
      <c r="O113" s="37">
        <v>10.051439999999999</v>
      </c>
      <c r="P113" s="38">
        <v>25.735530000000001</v>
      </c>
    </row>
    <row r="114" spans="1:16" x14ac:dyDescent="0.45">
      <c r="A114" s="48">
        <v>40338</v>
      </c>
      <c r="B114" s="37">
        <v>14.779780000000001</v>
      </c>
      <c r="C114" s="37">
        <v>30.124639999999999</v>
      </c>
      <c r="D114" s="37">
        <v>10.7448</v>
      </c>
      <c r="E114" s="37">
        <v>32.79</v>
      </c>
      <c r="F114" s="37">
        <v>21.434539999999998</v>
      </c>
      <c r="G114" s="37">
        <v>23.648219999999998</v>
      </c>
      <c r="H114" s="37">
        <v>14.634410000000001</v>
      </c>
      <c r="I114" s="37">
        <v>7.5443699999999998</v>
      </c>
      <c r="J114" s="37">
        <v>40.731400000000001</v>
      </c>
      <c r="K114" s="37">
        <v>25.2637</v>
      </c>
      <c r="L114" s="37">
        <v>5.9794</v>
      </c>
      <c r="M114" s="37">
        <v>6.4314900000000002</v>
      </c>
      <c r="N114" s="37">
        <v>11.73176</v>
      </c>
      <c r="O114" s="37">
        <v>9.86815</v>
      </c>
      <c r="P114" s="38">
        <v>24.267029999999998</v>
      </c>
    </row>
    <row r="115" spans="1:16" x14ac:dyDescent="0.45">
      <c r="A115" s="48">
        <v>40339</v>
      </c>
      <c r="B115" s="37">
        <v>15.015269999999999</v>
      </c>
      <c r="C115" s="37">
        <v>30.55264</v>
      </c>
      <c r="D115" s="37">
        <v>10.861599999999999</v>
      </c>
      <c r="E115" s="37">
        <v>34.090000000000003</v>
      </c>
      <c r="F115" s="37">
        <v>21.6906</v>
      </c>
      <c r="G115" s="37">
        <v>24.1523</v>
      </c>
      <c r="H115" s="37">
        <v>15.09703</v>
      </c>
      <c r="I115" s="37">
        <v>7.8015699999999999</v>
      </c>
      <c r="J115" s="37">
        <v>41.067500000000003</v>
      </c>
      <c r="K115" s="37">
        <v>25.226900000000001</v>
      </c>
      <c r="L115" s="37">
        <v>6.0113399999999997</v>
      </c>
      <c r="M115" s="37">
        <v>6.5197000000000003</v>
      </c>
      <c r="N115" s="37">
        <v>12.131259999999999</v>
      </c>
      <c r="O115" s="37">
        <v>10.02087</v>
      </c>
      <c r="P115" s="38">
        <v>24.670860000000001</v>
      </c>
    </row>
    <row r="116" spans="1:16" x14ac:dyDescent="0.45">
      <c r="A116" s="48">
        <v>40340</v>
      </c>
      <c r="B116" s="37">
        <v>15.30969</v>
      </c>
      <c r="C116" s="37">
        <v>31.013559999999998</v>
      </c>
      <c r="D116" s="37">
        <v>11.1341</v>
      </c>
      <c r="E116" s="37">
        <v>33.86</v>
      </c>
      <c r="F116" s="37">
        <v>21.946660000000001</v>
      </c>
      <c r="G116" s="37">
        <v>24.530259999999998</v>
      </c>
      <c r="H116" s="37">
        <v>15.601610000000001</v>
      </c>
      <c r="I116" s="37">
        <v>8.1444799999999997</v>
      </c>
      <c r="J116" s="37">
        <v>41.739600000000003</v>
      </c>
      <c r="K116" s="37">
        <v>26.255099999999999</v>
      </c>
      <c r="L116" s="37">
        <v>6.2604800000000003</v>
      </c>
      <c r="M116" s="37">
        <v>6.6399900000000001</v>
      </c>
      <c r="N116" s="37">
        <v>12.34915</v>
      </c>
      <c r="O116" s="37">
        <v>10.143039999999999</v>
      </c>
      <c r="P116" s="38">
        <v>24.89114</v>
      </c>
    </row>
    <row r="117" spans="1:16" x14ac:dyDescent="0.45">
      <c r="A117" s="48">
        <v>40343</v>
      </c>
      <c r="B117" s="37">
        <v>15.86914</v>
      </c>
      <c r="C117" s="37">
        <v>31.50741</v>
      </c>
      <c r="D117" s="37">
        <v>11.3287</v>
      </c>
      <c r="E117" s="37">
        <v>33.909999999999997</v>
      </c>
      <c r="F117" s="37">
        <v>22.312439999999999</v>
      </c>
      <c r="G117" s="37">
        <v>24.90832</v>
      </c>
      <c r="H117" s="37">
        <v>15.601610000000001</v>
      </c>
      <c r="I117" s="37">
        <v>8.2016500000000008</v>
      </c>
      <c r="J117" s="37">
        <v>41.537999999999997</v>
      </c>
      <c r="K117" s="37">
        <v>26.9528</v>
      </c>
      <c r="L117" s="37">
        <v>6.3563000000000001</v>
      </c>
      <c r="M117" s="37">
        <v>6.7763200000000001</v>
      </c>
      <c r="N117" s="37">
        <v>12.567130000000001</v>
      </c>
      <c r="O117" s="37">
        <v>10.35689</v>
      </c>
      <c r="P117" s="38">
        <v>26.212789999999998</v>
      </c>
    </row>
    <row r="118" spans="1:16" x14ac:dyDescent="0.45">
      <c r="A118" s="48">
        <v>40344</v>
      </c>
      <c r="B118" s="37">
        <v>15.81021</v>
      </c>
      <c r="C118" s="37">
        <v>31.803709999999999</v>
      </c>
      <c r="D118" s="37">
        <v>11.445499999999999</v>
      </c>
      <c r="E118" s="37">
        <v>33.950000000000003</v>
      </c>
      <c r="F118" s="37">
        <v>22.458780000000001</v>
      </c>
      <c r="G118" s="37">
        <v>24.992339999999999</v>
      </c>
      <c r="H118" s="37">
        <v>16.232430000000001</v>
      </c>
      <c r="I118" s="37">
        <v>8.1444799999999997</v>
      </c>
      <c r="J118" s="37">
        <v>42.008499999999998</v>
      </c>
      <c r="K118" s="37">
        <v>27.246600000000001</v>
      </c>
      <c r="L118" s="37">
        <v>6.4521300000000004</v>
      </c>
      <c r="M118" s="37">
        <v>6.8404800000000003</v>
      </c>
      <c r="N118" s="37">
        <v>12.63979</v>
      </c>
      <c r="O118" s="37">
        <v>10.44858</v>
      </c>
      <c r="P118" s="38">
        <v>25.808959999999999</v>
      </c>
    </row>
    <row r="119" spans="1:16" x14ac:dyDescent="0.45">
      <c r="A119" s="48">
        <v>40345</v>
      </c>
      <c r="B119" s="37">
        <v>15.81021</v>
      </c>
      <c r="C119" s="37">
        <v>31.803709999999999</v>
      </c>
      <c r="D119" s="37">
        <v>11.445499999999999</v>
      </c>
      <c r="E119" s="37">
        <v>33.950000000000003</v>
      </c>
      <c r="F119" s="37">
        <v>22.458780000000001</v>
      </c>
      <c r="G119" s="37">
        <v>24.992339999999999</v>
      </c>
      <c r="H119" s="37">
        <v>16.232430000000001</v>
      </c>
      <c r="I119" s="37">
        <v>8.4702999999999999</v>
      </c>
      <c r="J119" s="37">
        <v>42.008499999999998</v>
      </c>
      <c r="K119" s="37">
        <v>27.246600000000001</v>
      </c>
      <c r="L119" s="37">
        <v>6.4521300000000004</v>
      </c>
      <c r="M119" s="37">
        <v>6.8404800000000003</v>
      </c>
      <c r="N119" s="37">
        <v>12.63979</v>
      </c>
      <c r="O119" s="37">
        <v>10.44858</v>
      </c>
      <c r="P119" s="38">
        <v>25.808959999999999</v>
      </c>
    </row>
    <row r="120" spans="1:16" x14ac:dyDescent="0.45">
      <c r="A120" s="48">
        <v>40346</v>
      </c>
      <c r="B120" s="37">
        <v>16.13409</v>
      </c>
      <c r="C120" s="37">
        <v>31.70495</v>
      </c>
      <c r="D120" s="37">
        <v>11.6791</v>
      </c>
      <c r="E120" s="37">
        <v>33.81</v>
      </c>
      <c r="F120" s="37">
        <v>22.605039999999999</v>
      </c>
      <c r="G120" s="37">
        <v>25.160360000000001</v>
      </c>
      <c r="H120" s="37">
        <v>16.274480000000001</v>
      </c>
      <c r="I120" s="37">
        <v>8.2302300000000006</v>
      </c>
      <c r="J120" s="37">
        <v>42.210099999999997</v>
      </c>
      <c r="K120" s="37">
        <v>27.3934</v>
      </c>
      <c r="L120" s="37">
        <v>6.4201899999999998</v>
      </c>
      <c r="M120" s="37">
        <v>6.8885899999999998</v>
      </c>
      <c r="N120" s="37">
        <v>12.676080000000001</v>
      </c>
      <c r="O120" s="37">
        <v>10.44858</v>
      </c>
      <c r="P120" s="38">
        <v>26.065940000000001</v>
      </c>
    </row>
    <row r="121" spans="1:16" x14ac:dyDescent="0.45">
      <c r="A121" s="48">
        <v>40347</v>
      </c>
      <c r="B121" s="37">
        <v>16.016310000000001</v>
      </c>
      <c r="C121" s="37">
        <v>31.342790000000001</v>
      </c>
      <c r="D121" s="37">
        <v>11.6402</v>
      </c>
      <c r="E121" s="37">
        <v>33.909999999999997</v>
      </c>
      <c r="F121" s="37">
        <v>22.312439999999999</v>
      </c>
      <c r="G121" s="37">
        <v>25.03434</v>
      </c>
      <c r="H121" s="37">
        <v>16.064240000000002</v>
      </c>
      <c r="I121" s="37">
        <v>8.1158999999999999</v>
      </c>
      <c r="J121" s="37">
        <v>42.478999999999999</v>
      </c>
      <c r="K121" s="37">
        <v>27.173100000000002</v>
      </c>
      <c r="L121" s="37">
        <v>6.4201899999999998</v>
      </c>
      <c r="M121" s="37">
        <v>6.8565100000000001</v>
      </c>
      <c r="N121" s="37">
        <v>12.567130000000001</v>
      </c>
      <c r="O121" s="37">
        <v>10.41802</v>
      </c>
      <c r="P121" s="38">
        <v>26.873619999999999</v>
      </c>
    </row>
    <row r="122" spans="1:16" x14ac:dyDescent="0.45">
      <c r="A122" s="48">
        <v>40350</v>
      </c>
      <c r="B122" s="37">
        <v>16.25188</v>
      </c>
      <c r="C122" s="37">
        <v>33.515720000000002</v>
      </c>
      <c r="D122" s="37">
        <v>11.7181</v>
      </c>
      <c r="E122" s="37">
        <v>34.93</v>
      </c>
      <c r="F122" s="37">
        <v>22.422149999999998</v>
      </c>
      <c r="G122" s="37">
        <v>25.790459999999999</v>
      </c>
      <c r="H122" s="37">
        <v>16.947340000000001</v>
      </c>
      <c r="I122" s="37">
        <v>8.6588399999999996</v>
      </c>
      <c r="J122" s="37">
        <v>44.764200000000002</v>
      </c>
      <c r="K122" s="37">
        <v>27.7974</v>
      </c>
      <c r="L122" s="37">
        <v>6.5799000000000003</v>
      </c>
      <c r="M122" s="37">
        <v>6.98482</v>
      </c>
      <c r="N122" s="37">
        <v>13.00292</v>
      </c>
      <c r="O122" s="37">
        <v>10.60131</v>
      </c>
      <c r="P122" s="38">
        <v>27.35088</v>
      </c>
    </row>
    <row r="123" spans="1:16" x14ac:dyDescent="0.45">
      <c r="A123" s="48">
        <v>40351</v>
      </c>
      <c r="B123" s="37">
        <v>15.927989999999999</v>
      </c>
      <c r="C123" s="37">
        <v>34.832639999999998</v>
      </c>
      <c r="D123" s="37">
        <v>11.6402</v>
      </c>
      <c r="E123" s="37">
        <v>34.97</v>
      </c>
      <c r="F123" s="37">
        <v>22.49532</v>
      </c>
      <c r="G123" s="37">
        <v>25.622440000000001</v>
      </c>
      <c r="H123" s="37">
        <v>17.746359999999999</v>
      </c>
      <c r="I123" s="37">
        <v>8.6874300000000009</v>
      </c>
      <c r="J123" s="37">
        <v>44.092100000000002</v>
      </c>
      <c r="K123" s="37">
        <v>27.540400000000002</v>
      </c>
      <c r="L123" s="37">
        <v>6.5160099999999996</v>
      </c>
      <c r="M123" s="37">
        <v>6.9768100000000004</v>
      </c>
      <c r="N123" s="37">
        <v>13.07558</v>
      </c>
      <c r="O123" s="37">
        <v>10.54027</v>
      </c>
      <c r="P123" s="38">
        <v>27.53445</v>
      </c>
    </row>
    <row r="124" spans="1:16" x14ac:dyDescent="0.45">
      <c r="A124" s="48">
        <v>40352</v>
      </c>
      <c r="B124" s="37">
        <v>16.016310000000001</v>
      </c>
      <c r="C124" s="37">
        <v>35.030180000000001</v>
      </c>
      <c r="D124" s="37">
        <v>11.523400000000001</v>
      </c>
      <c r="E124" s="37">
        <v>36.32</v>
      </c>
      <c r="F124" s="37">
        <v>22.348980000000001</v>
      </c>
      <c r="G124" s="37">
        <v>25.3704</v>
      </c>
      <c r="H124" s="37">
        <v>17.57807</v>
      </c>
      <c r="I124" s="37">
        <v>8.7446000000000002</v>
      </c>
      <c r="J124" s="37">
        <v>45.100299999999997</v>
      </c>
      <c r="K124" s="37">
        <v>27.136399999999998</v>
      </c>
      <c r="L124" s="37">
        <v>6.48407</v>
      </c>
      <c r="M124" s="37">
        <v>6.9367000000000001</v>
      </c>
      <c r="N124" s="37">
        <v>13.00292</v>
      </c>
      <c r="O124" s="37">
        <v>10.54027</v>
      </c>
      <c r="P124" s="38">
        <v>27.791429999999998</v>
      </c>
    </row>
    <row r="125" spans="1:16" x14ac:dyDescent="0.45">
      <c r="A125" s="48">
        <v>40353</v>
      </c>
      <c r="B125" s="37">
        <v>16.22241</v>
      </c>
      <c r="C125" s="37">
        <v>35.030180000000001</v>
      </c>
      <c r="D125" s="37">
        <v>11.367699999999999</v>
      </c>
      <c r="E125" s="37">
        <v>35.9</v>
      </c>
      <c r="F125" s="37">
        <v>22.5685</v>
      </c>
      <c r="G125" s="37">
        <v>25.3704</v>
      </c>
      <c r="H125" s="37">
        <v>17.493970000000001</v>
      </c>
      <c r="I125" s="37">
        <v>8.6303400000000003</v>
      </c>
      <c r="J125" s="37">
        <v>44.4953</v>
      </c>
      <c r="K125" s="37">
        <v>27.430199999999999</v>
      </c>
      <c r="L125" s="37">
        <v>6.48407</v>
      </c>
      <c r="M125" s="37">
        <v>6.9928400000000002</v>
      </c>
      <c r="N125" s="37">
        <v>13.00292</v>
      </c>
      <c r="O125" s="37">
        <v>10.57084</v>
      </c>
      <c r="P125" s="38">
        <v>27.16732</v>
      </c>
    </row>
    <row r="126" spans="1:16" x14ac:dyDescent="0.45">
      <c r="A126" s="48">
        <v>40354</v>
      </c>
      <c r="B126" s="37">
        <v>15.83967</v>
      </c>
      <c r="C126" s="37">
        <v>32.725560000000002</v>
      </c>
      <c r="D126" s="37">
        <v>11.173</v>
      </c>
      <c r="E126" s="37">
        <v>34.93</v>
      </c>
      <c r="F126" s="37">
        <v>22.239260000000002</v>
      </c>
      <c r="G126" s="37">
        <v>25.03434</v>
      </c>
      <c r="H126" s="37">
        <v>16.821200000000001</v>
      </c>
      <c r="I126" s="37">
        <v>8.2588200000000001</v>
      </c>
      <c r="J126" s="37">
        <v>42.344499999999996</v>
      </c>
      <c r="K126" s="37">
        <v>27.173100000000002</v>
      </c>
      <c r="L126" s="37">
        <v>6.48407</v>
      </c>
      <c r="M126" s="37">
        <v>7.03294</v>
      </c>
      <c r="N126" s="37">
        <v>12.785030000000001</v>
      </c>
      <c r="O126" s="37">
        <v>10.90686</v>
      </c>
      <c r="P126" s="38">
        <v>27.90157</v>
      </c>
    </row>
    <row r="127" spans="1:16" x14ac:dyDescent="0.45">
      <c r="A127" s="48">
        <v>40357</v>
      </c>
      <c r="B127" s="37">
        <v>15.89861</v>
      </c>
      <c r="C127" s="37">
        <v>32.560949999999998</v>
      </c>
      <c r="D127" s="37">
        <v>11.212</v>
      </c>
      <c r="E127" s="37">
        <v>35.58</v>
      </c>
      <c r="F127" s="37">
        <v>22.239260000000002</v>
      </c>
      <c r="G127" s="37">
        <v>25.24438</v>
      </c>
      <c r="H127" s="37">
        <v>17.66226</v>
      </c>
      <c r="I127" s="37">
        <v>8.1444799999999997</v>
      </c>
      <c r="J127" s="37">
        <v>42.277299999999997</v>
      </c>
      <c r="K127" s="37">
        <v>27.283300000000001</v>
      </c>
      <c r="L127" s="37">
        <v>6.6437799999999996</v>
      </c>
      <c r="M127" s="37">
        <v>7.11313</v>
      </c>
      <c r="N127" s="37">
        <v>13.00292</v>
      </c>
      <c r="O127" s="37">
        <v>11.304</v>
      </c>
      <c r="P127" s="38">
        <v>27.644590000000001</v>
      </c>
    </row>
    <row r="128" spans="1:16" x14ac:dyDescent="0.45">
      <c r="A128" s="48">
        <v>40358</v>
      </c>
      <c r="B128" s="37">
        <v>15.515790000000001</v>
      </c>
      <c r="C128" s="37">
        <v>32.692639999999997</v>
      </c>
      <c r="D128" s="37">
        <v>11.0952</v>
      </c>
      <c r="E128" s="37">
        <v>35.76</v>
      </c>
      <c r="F128" s="37">
        <v>21.946660000000001</v>
      </c>
      <c r="G128" s="37">
        <v>25.202369999999998</v>
      </c>
      <c r="H128" s="37">
        <v>17.199629999999999</v>
      </c>
      <c r="I128" s="37">
        <v>8.0587599999999995</v>
      </c>
      <c r="J128" s="37">
        <v>42.613399999999999</v>
      </c>
      <c r="K128" s="37">
        <v>27.32</v>
      </c>
      <c r="L128" s="37">
        <v>6.5160099999999996</v>
      </c>
      <c r="M128" s="37">
        <v>6.9607599999999996</v>
      </c>
      <c r="N128" s="37">
        <v>12.821400000000001</v>
      </c>
      <c r="O128" s="37">
        <v>10.99855</v>
      </c>
      <c r="P128" s="38">
        <v>26.800190000000001</v>
      </c>
    </row>
    <row r="129" spans="1:16" x14ac:dyDescent="0.45">
      <c r="A129" s="48">
        <v>40359</v>
      </c>
      <c r="B129" s="37">
        <v>15.103669999999999</v>
      </c>
      <c r="C129" s="37">
        <v>31.639099999999999</v>
      </c>
      <c r="D129" s="37">
        <v>11.173</v>
      </c>
      <c r="E129" s="37">
        <v>35.53</v>
      </c>
      <c r="F129" s="37">
        <v>21.80031</v>
      </c>
      <c r="G129" s="37">
        <v>24.866320000000002</v>
      </c>
      <c r="H129" s="37">
        <v>17.199629999999999</v>
      </c>
      <c r="I129" s="37">
        <v>7.9444499999999998</v>
      </c>
      <c r="J129" s="37">
        <v>43.1511</v>
      </c>
      <c r="K129" s="37">
        <v>26.5122</v>
      </c>
      <c r="L129" s="37">
        <v>6.5479599999999998</v>
      </c>
      <c r="M129" s="37">
        <v>6.95275</v>
      </c>
      <c r="N129" s="37">
        <v>12.60342</v>
      </c>
      <c r="O129" s="37">
        <v>10.90686</v>
      </c>
      <c r="P129" s="38">
        <v>26.800190000000001</v>
      </c>
    </row>
    <row r="130" spans="1:16" x14ac:dyDescent="0.45">
      <c r="A130" s="48">
        <v>40360</v>
      </c>
      <c r="B130" s="37">
        <v>14.720929999999999</v>
      </c>
      <c r="C130" s="37">
        <v>31.342790000000001</v>
      </c>
      <c r="D130" s="37">
        <v>10.939399999999999</v>
      </c>
      <c r="E130" s="37">
        <v>35.21</v>
      </c>
      <c r="F130" s="37">
        <v>21.617509999999999</v>
      </c>
      <c r="G130" s="37">
        <v>23.81625</v>
      </c>
      <c r="H130" s="37">
        <v>18.37717</v>
      </c>
      <c r="I130" s="37">
        <v>8.0015999999999998</v>
      </c>
      <c r="J130" s="37">
        <v>42.478999999999999</v>
      </c>
      <c r="K130" s="37">
        <v>26.438800000000001</v>
      </c>
      <c r="L130" s="37">
        <v>6.4201899999999998</v>
      </c>
      <c r="M130" s="37">
        <v>6.8324499999999997</v>
      </c>
      <c r="N130" s="37">
        <v>12.34915</v>
      </c>
      <c r="O130" s="37">
        <v>10.99855</v>
      </c>
      <c r="P130" s="38">
        <v>26.13937</v>
      </c>
    </row>
    <row r="131" spans="1:16" x14ac:dyDescent="0.45">
      <c r="A131" s="48">
        <v>40361</v>
      </c>
      <c r="B131" s="37">
        <v>14.92695</v>
      </c>
      <c r="C131" s="37">
        <v>31.606179999999998</v>
      </c>
      <c r="D131" s="37">
        <v>10.978400000000001</v>
      </c>
      <c r="E131" s="37">
        <v>35.39</v>
      </c>
      <c r="F131" s="37">
        <v>21.727219999999999</v>
      </c>
      <c r="G131" s="37">
        <v>23.858250000000002</v>
      </c>
      <c r="H131" s="37">
        <v>18.503319999999999</v>
      </c>
      <c r="I131" s="37">
        <v>7.91587</v>
      </c>
      <c r="J131" s="37">
        <v>42.344499999999996</v>
      </c>
      <c r="K131" s="37">
        <v>27.099699999999999</v>
      </c>
      <c r="L131" s="37">
        <v>6.6757200000000001</v>
      </c>
      <c r="M131" s="37">
        <v>7.0168999999999997</v>
      </c>
      <c r="N131" s="37">
        <v>12.676080000000001</v>
      </c>
      <c r="O131" s="37">
        <v>11.365130000000001</v>
      </c>
      <c r="P131" s="38">
        <v>26.83691</v>
      </c>
    </row>
    <row r="132" spans="1:16" x14ac:dyDescent="0.45">
      <c r="A132" s="48">
        <v>40364</v>
      </c>
      <c r="B132" s="37">
        <v>15.015269999999999</v>
      </c>
      <c r="C132" s="37">
        <v>32.396329999999999</v>
      </c>
      <c r="D132" s="37">
        <v>11.1341</v>
      </c>
      <c r="E132" s="37">
        <v>37.11</v>
      </c>
      <c r="F132" s="37">
        <v>21.836939999999998</v>
      </c>
      <c r="G132" s="37">
        <v>24.278320000000001</v>
      </c>
      <c r="H132" s="37">
        <v>18.503319999999999</v>
      </c>
      <c r="I132" s="37">
        <v>8.0301799999999997</v>
      </c>
      <c r="J132" s="37">
        <v>43.0839</v>
      </c>
      <c r="K132" s="37">
        <v>27.503599999999999</v>
      </c>
      <c r="L132" s="37">
        <v>6.8673700000000002</v>
      </c>
      <c r="M132" s="37">
        <v>7.1211500000000001</v>
      </c>
      <c r="N132" s="37">
        <v>13.184530000000001</v>
      </c>
      <c r="O132" s="37">
        <v>11.334569999999999</v>
      </c>
      <c r="P132" s="38">
        <v>27.093900000000001</v>
      </c>
    </row>
    <row r="133" spans="1:16" x14ac:dyDescent="0.45">
      <c r="A133" s="48">
        <v>40365</v>
      </c>
      <c r="B133" s="37">
        <v>15.39809</v>
      </c>
      <c r="C133" s="37">
        <v>32.528019999999998</v>
      </c>
      <c r="D133" s="37">
        <v>11.3287</v>
      </c>
      <c r="E133" s="37">
        <v>36.880000000000003</v>
      </c>
      <c r="F133" s="37">
        <v>22.312439999999999</v>
      </c>
      <c r="G133" s="37">
        <v>25.790459999999999</v>
      </c>
      <c r="H133" s="37">
        <v>19.176089999999999</v>
      </c>
      <c r="I133" s="37">
        <v>8.0587599999999995</v>
      </c>
      <c r="J133" s="37">
        <v>43.487200000000001</v>
      </c>
      <c r="K133" s="37">
        <v>27.981000000000002</v>
      </c>
      <c r="L133" s="37">
        <v>6.8354200000000001</v>
      </c>
      <c r="M133" s="37">
        <v>7.1853100000000003</v>
      </c>
      <c r="N133" s="37">
        <v>13.438789999999999</v>
      </c>
      <c r="O133" s="37">
        <v>11.57898</v>
      </c>
      <c r="P133" s="38">
        <v>27.093900000000001</v>
      </c>
    </row>
    <row r="134" spans="1:16" x14ac:dyDescent="0.45">
      <c r="A134" s="48">
        <v>40366</v>
      </c>
      <c r="B134" s="37">
        <v>15.36862</v>
      </c>
      <c r="C134" s="37">
        <v>32.659709999999997</v>
      </c>
      <c r="D134" s="37">
        <v>11.445499999999999</v>
      </c>
      <c r="E134" s="37">
        <v>35.67</v>
      </c>
      <c r="F134" s="37">
        <v>22.129549999999998</v>
      </c>
      <c r="G134" s="37">
        <v>25.454409999999999</v>
      </c>
      <c r="H134" s="37">
        <v>19.680769999999999</v>
      </c>
      <c r="I134" s="37">
        <v>8.0015999999999998</v>
      </c>
      <c r="J134" s="37">
        <v>44.159300000000002</v>
      </c>
      <c r="K134" s="37">
        <v>28.2013</v>
      </c>
      <c r="L134" s="37">
        <v>6.7396000000000003</v>
      </c>
      <c r="M134" s="37">
        <v>7.11313</v>
      </c>
      <c r="N134" s="37">
        <v>13.32985</v>
      </c>
      <c r="O134" s="37">
        <v>11.426259999999999</v>
      </c>
      <c r="P134" s="38">
        <v>27.093900000000001</v>
      </c>
    </row>
    <row r="135" spans="1:16" x14ac:dyDescent="0.45">
      <c r="A135" s="48">
        <v>40367</v>
      </c>
      <c r="B135" s="37">
        <v>15.515790000000001</v>
      </c>
      <c r="C135" s="37">
        <v>32.429250000000003</v>
      </c>
      <c r="D135" s="37">
        <v>11.365500000000001</v>
      </c>
      <c r="E135" s="37">
        <v>34.83</v>
      </c>
      <c r="F135" s="37">
        <v>22.27589</v>
      </c>
      <c r="G135" s="37">
        <v>25.286380000000001</v>
      </c>
      <c r="H135" s="37">
        <v>19.260190000000001</v>
      </c>
      <c r="I135" s="37">
        <v>8.0015999999999998</v>
      </c>
      <c r="J135" s="37">
        <v>44.159300000000002</v>
      </c>
      <c r="K135" s="37">
        <v>28.2013</v>
      </c>
      <c r="L135" s="37">
        <v>6.7396000000000003</v>
      </c>
      <c r="M135" s="37">
        <v>7.1532299999999998</v>
      </c>
      <c r="N135" s="37">
        <v>13.46438</v>
      </c>
      <c r="O135" s="37">
        <v>11.39569</v>
      </c>
      <c r="P135" s="38">
        <v>26.910329999999998</v>
      </c>
    </row>
    <row r="136" spans="1:16" x14ac:dyDescent="0.45">
      <c r="A136" s="48">
        <v>40368</v>
      </c>
      <c r="B136" s="37">
        <v>15.633570000000001</v>
      </c>
      <c r="C136" s="37">
        <v>32.593870000000003</v>
      </c>
      <c r="D136" s="37">
        <v>11.4856</v>
      </c>
      <c r="E136" s="37">
        <v>34.79</v>
      </c>
      <c r="F136" s="37">
        <v>22.27589</v>
      </c>
      <c r="G136" s="37">
        <v>25.664439999999999</v>
      </c>
      <c r="H136" s="37">
        <v>19.091989999999999</v>
      </c>
      <c r="I136" s="37">
        <v>7.91587</v>
      </c>
      <c r="J136" s="37">
        <v>43.957700000000003</v>
      </c>
      <c r="K136" s="37">
        <v>28.348199999999999</v>
      </c>
      <c r="L136" s="37">
        <v>6.6757200000000001</v>
      </c>
      <c r="M136" s="37">
        <v>7.1211500000000001</v>
      </c>
      <c r="N136" s="37">
        <v>13.540459999999999</v>
      </c>
      <c r="O136" s="37">
        <v>11.426259999999999</v>
      </c>
      <c r="P136" s="38">
        <v>26.947050000000001</v>
      </c>
    </row>
    <row r="137" spans="1:16" x14ac:dyDescent="0.45">
      <c r="A137" s="48">
        <v>40371</v>
      </c>
      <c r="B137" s="37">
        <v>15.60411</v>
      </c>
      <c r="C137" s="37">
        <v>32.297559999999997</v>
      </c>
      <c r="D137" s="37">
        <v>11.4856</v>
      </c>
      <c r="E137" s="37">
        <v>34.880000000000003</v>
      </c>
      <c r="F137" s="37">
        <v>22.27589</v>
      </c>
      <c r="G137" s="37">
        <v>25.874479999999998</v>
      </c>
      <c r="H137" s="37">
        <v>18.671510000000001</v>
      </c>
      <c r="I137" s="37">
        <v>7.9444499999999998</v>
      </c>
      <c r="J137" s="37">
        <v>44.293799999999997</v>
      </c>
      <c r="K137" s="37">
        <v>27.981000000000002</v>
      </c>
      <c r="L137" s="37">
        <v>6.6757200000000001</v>
      </c>
      <c r="M137" s="37">
        <v>7.1612499999999999</v>
      </c>
      <c r="N137" s="37">
        <v>13.61646</v>
      </c>
      <c r="O137" s="37">
        <v>11.39569</v>
      </c>
      <c r="P137" s="38">
        <v>27.02047</v>
      </c>
    </row>
    <row r="138" spans="1:16" x14ac:dyDescent="0.45">
      <c r="A138" s="48">
        <v>40372</v>
      </c>
      <c r="B138" s="37">
        <v>15.663040000000001</v>
      </c>
      <c r="C138" s="37">
        <v>31.935410000000001</v>
      </c>
      <c r="D138" s="37">
        <v>11.525600000000001</v>
      </c>
      <c r="E138" s="37">
        <v>34.28</v>
      </c>
      <c r="F138" s="37">
        <v>22.202719999999999</v>
      </c>
      <c r="G138" s="37">
        <v>24.824310000000001</v>
      </c>
      <c r="H138" s="37">
        <v>18.88175</v>
      </c>
      <c r="I138" s="37">
        <v>7.8015699999999999</v>
      </c>
      <c r="J138" s="37">
        <v>44.226500000000001</v>
      </c>
      <c r="K138" s="37">
        <v>28.274799999999999</v>
      </c>
      <c r="L138" s="37">
        <v>6.7076700000000002</v>
      </c>
      <c r="M138" s="37">
        <v>7.1612499999999999</v>
      </c>
      <c r="N138" s="37">
        <v>13.57846</v>
      </c>
      <c r="O138" s="37">
        <v>11.365130000000001</v>
      </c>
      <c r="P138" s="38">
        <v>26.690059999999999</v>
      </c>
    </row>
    <row r="139" spans="1:16" x14ac:dyDescent="0.45">
      <c r="A139" s="48">
        <v>40373</v>
      </c>
      <c r="B139" s="37">
        <v>16.10463</v>
      </c>
      <c r="C139" s="37">
        <v>32.198790000000002</v>
      </c>
      <c r="D139" s="37">
        <v>11.8858</v>
      </c>
      <c r="E139" s="37">
        <v>34.28</v>
      </c>
      <c r="F139" s="37">
        <v>22.348980000000001</v>
      </c>
      <c r="G139" s="37">
        <v>25.286380000000001</v>
      </c>
      <c r="H139" s="37">
        <v>19.55462</v>
      </c>
      <c r="I139" s="37">
        <v>7.8301400000000001</v>
      </c>
      <c r="J139" s="37">
        <v>45.369199999999999</v>
      </c>
      <c r="K139" s="37">
        <v>28.495100000000001</v>
      </c>
      <c r="L139" s="37">
        <v>6.8535899999999996</v>
      </c>
      <c r="M139" s="37">
        <v>7.24946</v>
      </c>
      <c r="N139" s="37">
        <v>13.692550000000001</v>
      </c>
      <c r="O139" s="37">
        <v>11.57898</v>
      </c>
      <c r="P139" s="38">
        <v>26.690059999999999</v>
      </c>
    </row>
    <row r="140" spans="1:16" x14ac:dyDescent="0.45">
      <c r="A140" s="48">
        <v>40374</v>
      </c>
      <c r="B140" s="37">
        <v>16.13409</v>
      </c>
      <c r="C140" s="37">
        <v>32.330480000000001</v>
      </c>
      <c r="D140" s="37">
        <v>11.8057</v>
      </c>
      <c r="E140" s="37">
        <v>34.51</v>
      </c>
      <c r="F140" s="37">
        <v>22.239260000000002</v>
      </c>
      <c r="G140" s="37">
        <v>25.202369999999998</v>
      </c>
      <c r="H140" s="37">
        <v>19.59667</v>
      </c>
      <c r="I140" s="37">
        <v>7.8015699999999999</v>
      </c>
      <c r="J140" s="37">
        <v>45.369199999999999</v>
      </c>
      <c r="K140" s="37">
        <v>28.421600000000002</v>
      </c>
      <c r="L140" s="37">
        <v>6.9182399999999999</v>
      </c>
      <c r="M140" s="37">
        <v>7.3537100000000004</v>
      </c>
      <c r="N140" s="37">
        <v>13.80664</v>
      </c>
      <c r="O140" s="37">
        <v>11.60955</v>
      </c>
      <c r="P140" s="38">
        <v>26.726769999999998</v>
      </c>
    </row>
    <row r="141" spans="1:16" x14ac:dyDescent="0.45">
      <c r="A141" s="48">
        <v>40375</v>
      </c>
      <c r="B141" s="37">
        <v>15.72189</v>
      </c>
      <c r="C141" s="37">
        <v>32.528019999999998</v>
      </c>
      <c r="D141" s="37">
        <v>11.845700000000001</v>
      </c>
      <c r="E141" s="37">
        <v>33.909999999999997</v>
      </c>
      <c r="F141" s="37">
        <v>22.093</v>
      </c>
      <c r="G141" s="37">
        <v>25.202369999999998</v>
      </c>
      <c r="H141" s="37">
        <v>19.134039999999999</v>
      </c>
      <c r="I141" s="37">
        <v>7.8872999999999998</v>
      </c>
      <c r="J141" s="37">
        <v>46.0413</v>
      </c>
      <c r="K141" s="37">
        <v>28.091100000000001</v>
      </c>
      <c r="L141" s="37">
        <v>6.9505800000000004</v>
      </c>
      <c r="M141" s="37">
        <v>7.3697499999999998</v>
      </c>
      <c r="N141" s="37">
        <v>14.14899</v>
      </c>
      <c r="O141" s="37">
        <v>11.64011</v>
      </c>
      <c r="P141" s="38">
        <v>25.698820000000001</v>
      </c>
    </row>
    <row r="142" spans="1:16" x14ac:dyDescent="0.45">
      <c r="A142" s="48">
        <v>40378</v>
      </c>
      <c r="B142" s="37">
        <v>15.515790000000001</v>
      </c>
      <c r="C142" s="37">
        <v>33.844949999999997</v>
      </c>
      <c r="D142" s="37">
        <v>11.765700000000001</v>
      </c>
      <c r="E142" s="37">
        <v>34.14</v>
      </c>
      <c r="F142" s="37">
        <v>22.458780000000001</v>
      </c>
      <c r="G142" s="37">
        <v>25.202369999999998</v>
      </c>
      <c r="H142" s="37">
        <v>19.176089999999999</v>
      </c>
      <c r="I142" s="37">
        <v>8.1730599999999995</v>
      </c>
      <c r="J142" s="37">
        <v>46.108499999999999</v>
      </c>
      <c r="K142" s="37">
        <v>28.2013</v>
      </c>
      <c r="L142" s="37">
        <v>6.9182399999999999</v>
      </c>
      <c r="M142" s="37">
        <v>7.3376700000000001</v>
      </c>
      <c r="N142" s="37">
        <v>13.95881</v>
      </c>
      <c r="O142" s="37">
        <v>11.70124</v>
      </c>
      <c r="P142" s="38">
        <v>25.148129999999998</v>
      </c>
    </row>
    <row r="143" spans="1:16" x14ac:dyDescent="0.45">
      <c r="A143" s="48">
        <v>40379</v>
      </c>
      <c r="B143" s="37">
        <v>15.78082</v>
      </c>
      <c r="C143" s="37">
        <v>33.7791</v>
      </c>
      <c r="D143" s="37">
        <v>11.8057</v>
      </c>
      <c r="E143" s="37">
        <v>34.74</v>
      </c>
      <c r="F143" s="37">
        <v>22.605039999999999</v>
      </c>
      <c r="G143" s="37">
        <v>25.538419999999999</v>
      </c>
      <c r="H143" s="37">
        <v>18.755610000000001</v>
      </c>
      <c r="I143" s="37">
        <v>8.0873100000000004</v>
      </c>
      <c r="J143" s="37">
        <v>45.9741</v>
      </c>
      <c r="K143" s="37">
        <v>28.238</v>
      </c>
      <c r="L143" s="37">
        <v>6.9829100000000004</v>
      </c>
      <c r="M143" s="37">
        <v>7.3216400000000004</v>
      </c>
      <c r="N143" s="37">
        <v>13.920809999999999</v>
      </c>
      <c r="O143" s="37">
        <v>11.70124</v>
      </c>
      <c r="P143" s="38">
        <v>25.845669999999998</v>
      </c>
    </row>
    <row r="144" spans="1:16" x14ac:dyDescent="0.45">
      <c r="A144" s="48">
        <v>40380</v>
      </c>
      <c r="B144" s="37">
        <v>15.75136</v>
      </c>
      <c r="C144" s="37">
        <v>32.988939999999999</v>
      </c>
      <c r="D144" s="37">
        <v>11.845700000000001</v>
      </c>
      <c r="E144" s="37">
        <v>34.51</v>
      </c>
      <c r="F144" s="37">
        <v>22.641670000000001</v>
      </c>
      <c r="G144" s="37">
        <v>25.412400000000002</v>
      </c>
      <c r="H144" s="37">
        <v>19.638719999999999</v>
      </c>
      <c r="I144" s="37">
        <v>8.0301799999999997</v>
      </c>
      <c r="J144" s="37">
        <v>45.436399999999999</v>
      </c>
      <c r="K144" s="37">
        <v>28.054500000000001</v>
      </c>
      <c r="L144" s="37">
        <v>6.8859199999999996</v>
      </c>
      <c r="M144" s="37">
        <v>7.29758</v>
      </c>
      <c r="N144" s="37">
        <v>13.57846</v>
      </c>
      <c r="O144" s="37">
        <v>11.57898</v>
      </c>
      <c r="P144" s="38">
        <v>25.331689999999998</v>
      </c>
    </row>
    <row r="145" spans="1:16" x14ac:dyDescent="0.45">
      <c r="A145" s="48">
        <v>40381</v>
      </c>
      <c r="B145" s="37">
        <v>15.545260000000001</v>
      </c>
      <c r="C145" s="37">
        <v>32.923099999999998</v>
      </c>
      <c r="D145" s="37">
        <v>11.7257</v>
      </c>
      <c r="E145" s="37">
        <v>34.74</v>
      </c>
      <c r="F145" s="37">
        <v>23.007439999999999</v>
      </c>
      <c r="G145" s="37">
        <v>25.11835</v>
      </c>
      <c r="H145" s="37">
        <v>19.891010000000001</v>
      </c>
      <c r="I145" s="37">
        <v>8.0587599999999995</v>
      </c>
      <c r="J145" s="37">
        <v>41.806800000000003</v>
      </c>
      <c r="K145" s="37">
        <v>27.944299999999998</v>
      </c>
      <c r="L145" s="37">
        <v>6.8859199999999996</v>
      </c>
      <c r="M145" s="37">
        <v>7.2735200000000004</v>
      </c>
      <c r="N145" s="37">
        <v>13.2742</v>
      </c>
      <c r="O145" s="37">
        <v>11.54842</v>
      </c>
      <c r="P145" s="38">
        <v>25.478539999999999</v>
      </c>
    </row>
    <row r="146" spans="1:16" x14ac:dyDescent="0.45">
      <c r="A146" s="48">
        <v>40382</v>
      </c>
      <c r="B146" s="37">
        <v>15.89861</v>
      </c>
      <c r="C146" s="37">
        <v>33.318179999999998</v>
      </c>
      <c r="D146" s="37">
        <v>11.7257</v>
      </c>
      <c r="E146" s="37">
        <v>34.65</v>
      </c>
      <c r="F146" s="37">
        <v>23.26343</v>
      </c>
      <c r="G146" s="37">
        <v>25.664439999999999</v>
      </c>
      <c r="H146" s="37">
        <v>20.18544</v>
      </c>
      <c r="I146" s="37">
        <v>8.2016500000000008</v>
      </c>
      <c r="J146" s="37">
        <v>43.0167</v>
      </c>
      <c r="K146" s="37">
        <v>28.311499999999999</v>
      </c>
      <c r="L146" s="37">
        <v>6.9182399999999999</v>
      </c>
      <c r="M146" s="37">
        <v>7.32965</v>
      </c>
      <c r="N146" s="37">
        <v>13.350289999999999</v>
      </c>
      <c r="O146" s="37">
        <v>11.517860000000001</v>
      </c>
      <c r="P146" s="38">
        <v>25.25827</v>
      </c>
    </row>
    <row r="147" spans="1:16" x14ac:dyDescent="0.45">
      <c r="A147" s="48">
        <v>40385</v>
      </c>
      <c r="B147" s="37">
        <v>16.25188</v>
      </c>
      <c r="C147" s="37">
        <v>34.072290000000002</v>
      </c>
      <c r="D147" s="37">
        <v>11.845700000000001</v>
      </c>
      <c r="E147" s="37">
        <v>34.65</v>
      </c>
      <c r="F147" s="37">
        <v>22.764620000000001</v>
      </c>
      <c r="G147" s="37">
        <v>26.336449999999999</v>
      </c>
      <c r="H147" s="37">
        <v>20.22749</v>
      </c>
      <c r="I147" s="37">
        <v>8.3730799999999999</v>
      </c>
      <c r="J147" s="37">
        <v>42.747799999999998</v>
      </c>
      <c r="K147" s="37">
        <v>28.238</v>
      </c>
      <c r="L147" s="37">
        <v>6.8859199999999996</v>
      </c>
      <c r="M147" s="37">
        <v>7.3216400000000004</v>
      </c>
      <c r="N147" s="37">
        <v>13.540459999999999</v>
      </c>
      <c r="O147" s="37">
        <v>11.60955</v>
      </c>
      <c r="P147" s="38">
        <v>24.817710000000002</v>
      </c>
    </row>
    <row r="148" spans="1:16" x14ac:dyDescent="0.45">
      <c r="A148" s="48">
        <v>40386</v>
      </c>
      <c r="B148" s="37">
        <v>16.580300000000001</v>
      </c>
      <c r="C148" s="37">
        <v>34.41507</v>
      </c>
      <c r="D148" s="37">
        <v>11.8057</v>
      </c>
      <c r="E148" s="37">
        <v>34.18</v>
      </c>
      <c r="F148" s="37">
        <v>22.802209999999999</v>
      </c>
      <c r="G148" s="37">
        <v>25.91648</v>
      </c>
      <c r="H148" s="37">
        <v>19.764859999999999</v>
      </c>
      <c r="I148" s="37">
        <v>8.2588200000000001</v>
      </c>
      <c r="J148" s="37">
        <v>42.747799999999998</v>
      </c>
      <c r="K148" s="37">
        <v>28.054500000000001</v>
      </c>
      <c r="L148" s="37">
        <v>6.8212599999999997</v>
      </c>
      <c r="M148" s="37">
        <v>7.32965</v>
      </c>
      <c r="N148" s="37">
        <v>13.42638</v>
      </c>
      <c r="O148" s="37">
        <v>11.517860000000001</v>
      </c>
      <c r="P148" s="38">
        <v>25.551970000000001</v>
      </c>
    </row>
    <row r="149" spans="1:16" x14ac:dyDescent="0.45">
      <c r="A149" s="48">
        <v>40387</v>
      </c>
      <c r="B149" s="37">
        <v>16.45074</v>
      </c>
      <c r="C149" s="37">
        <v>36.60886</v>
      </c>
      <c r="D149" s="37">
        <v>11.685700000000001</v>
      </c>
      <c r="E149" s="37">
        <v>34.42</v>
      </c>
      <c r="F149" s="37">
        <v>22.72702</v>
      </c>
      <c r="G149" s="37">
        <v>26.210429999999999</v>
      </c>
      <c r="H149" s="37">
        <v>19.848960000000002</v>
      </c>
      <c r="I149" s="37">
        <v>8.6303400000000003</v>
      </c>
      <c r="J149" s="37">
        <v>43.419899999999998</v>
      </c>
      <c r="K149" s="37">
        <v>28.5685</v>
      </c>
      <c r="L149" s="37">
        <v>6.9829100000000004</v>
      </c>
      <c r="M149" s="37">
        <v>7.4018300000000004</v>
      </c>
      <c r="N149" s="37">
        <v>13.730639999999999</v>
      </c>
      <c r="O149" s="37">
        <v>11.60955</v>
      </c>
      <c r="P149" s="38">
        <v>25.111419999999999</v>
      </c>
    </row>
    <row r="150" spans="1:16" x14ac:dyDescent="0.45">
      <c r="A150" s="48">
        <v>40388</v>
      </c>
      <c r="B150" s="37">
        <v>16.483090000000001</v>
      </c>
      <c r="C150" s="37">
        <v>35.923299999999998</v>
      </c>
      <c r="D150" s="37">
        <v>11.5656</v>
      </c>
      <c r="E150" s="37">
        <v>34.82</v>
      </c>
      <c r="F150" s="37">
        <v>22.877479999999998</v>
      </c>
      <c r="G150" s="37">
        <v>26.294450000000001</v>
      </c>
      <c r="H150" s="37">
        <v>19.933060000000001</v>
      </c>
      <c r="I150" s="37">
        <v>8.4302499999999991</v>
      </c>
      <c r="J150" s="37">
        <v>43.1511</v>
      </c>
      <c r="K150" s="37">
        <v>29.0092</v>
      </c>
      <c r="L150" s="37">
        <v>7.0152400000000004</v>
      </c>
      <c r="M150" s="37">
        <v>7.40984</v>
      </c>
      <c r="N150" s="37">
        <v>13.61646</v>
      </c>
      <c r="O150" s="37">
        <v>11.54842</v>
      </c>
      <c r="P150" s="38">
        <v>24.450589999999998</v>
      </c>
    </row>
    <row r="151" spans="1:16" x14ac:dyDescent="0.45">
      <c r="A151" s="48">
        <v>40389</v>
      </c>
      <c r="B151" s="37">
        <v>16.28884</v>
      </c>
      <c r="C151" s="37">
        <v>36.19753</v>
      </c>
      <c r="D151" s="37">
        <v>11.365500000000001</v>
      </c>
      <c r="E151" s="37">
        <v>34.82</v>
      </c>
      <c r="F151" s="37">
        <v>22.83989</v>
      </c>
      <c r="G151" s="37">
        <v>26.000399999999999</v>
      </c>
      <c r="H151" s="37">
        <v>20.017150000000001</v>
      </c>
      <c r="I151" s="37">
        <v>8.5445899999999995</v>
      </c>
      <c r="J151" s="37">
        <v>42.747799999999998</v>
      </c>
      <c r="K151" s="37">
        <v>28.862300000000001</v>
      </c>
      <c r="L151" s="37">
        <v>6.9505800000000004</v>
      </c>
      <c r="M151" s="37">
        <v>7.3777699999999999</v>
      </c>
      <c r="N151" s="37">
        <v>13.61646</v>
      </c>
      <c r="O151" s="37">
        <v>11.517860000000001</v>
      </c>
      <c r="P151" s="38">
        <v>24.303740000000001</v>
      </c>
    </row>
    <row r="152" spans="1:16" x14ac:dyDescent="0.45">
      <c r="A152" s="48">
        <v>40392</v>
      </c>
      <c r="B152" s="37">
        <v>16.418399999999998</v>
      </c>
      <c r="C152" s="37">
        <v>37.568640000000002</v>
      </c>
      <c r="D152" s="37">
        <v>11.605600000000001</v>
      </c>
      <c r="E152" s="37">
        <v>35.479999999999997</v>
      </c>
      <c r="F152" s="37">
        <v>23.216159999999999</v>
      </c>
      <c r="G152" s="37">
        <v>26.504480000000001</v>
      </c>
      <c r="H152" s="37">
        <v>19.933060000000001</v>
      </c>
      <c r="I152" s="37">
        <v>8.5445899999999995</v>
      </c>
      <c r="J152" s="37">
        <v>43.285499999999999</v>
      </c>
      <c r="K152" s="37">
        <v>29.3764</v>
      </c>
      <c r="L152" s="37">
        <v>7.2092000000000001</v>
      </c>
      <c r="M152" s="37">
        <v>7.6825000000000001</v>
      </c>
      <c r="N152" s="37">
        <v>14.18708</v>
      </c>
      <c r="O152" s="37">
        <v>11.85397</v>
      </c>
      <c r="P152" s="38">
        <v>24.744289999999999</v>
      </c>
    </row>
    <row r="153" spans="1:16" x14ac:dyDescent="0.45">
      <c r="A153" s="48">
        <v>40393</v>
      </c>
      <c r="B153" s="37">
        <v>16.709769999999999</v>
      </c>
      <c r="C153" s="37">
        <v>38.52843</v>
      </c>
      <c r="D153" s="37">
        <v>11.525600000000001</v>
      </c>
      <c r="E153" s="37">
        <v>36.28</v>
      </c>
      <c r="F153" s="37">
        <v>23.479569999999999</v>
      </c>
      <c r="G153" s="37">
        <v>26.840530000000001</v>
      </c>
      <c r="H153" s="37">
        <v>19.891010000000001</v>
      </c>
      <c r="I153" s="37">
        <v>8.8017699999999994</v>
      </c>
      <c r="J153" s="37">
        <v>44.226500000000001</v>
      </c>
      <c r="K153" s="37">
        <v>29.523299999999999</v>
      </c>
      <c r="L153" s="37">
        <v>7.2738500000000004</v>
      </c>
      <c r="M153" s="37">
        <v>7.6985400000000004</v>
      </c>
      <c r="N153" s="37">
        <v>14.56743</v>
      </c>
      <c r="O153" s="37">
        <v>11.85397</v>
      </c>
      <c r="P153" s="38">
        <v>24.37716</v>
      </c>
    </row>
    <row r="154" spans="1:16" x14ac:dyDescent="0.45">
      <c r="A154" s="48">
        <v>40394</v>
      </c>
      <c r="B154" s="37">
        <v>16.677420000000001</v>
      </c>
      <c r="C154" s="37">
        <v>38.734099999999998</v>
      </c>
      <c r="D154" s="37">
        <v>11.445499999999999</v>
      </c>
      <c r="E154" s="37">
        <v>36.75</v>
      </c>
      <c r="F154" s="37">
        <v>23.4419</v>
      </c>
      <c r="G154" s="37">
        <v>27.974620000000002</v>
      </c>
      <c r="H154" s="37">
        <v>20.353629999999999</v>
      </c>
      <c r="I154" s="37">
        <v>8.8589400000000005</v>
      </c>
      <c r="J154" s="37">
        <v>43.957700000000003</v>
      </c>
      <c r="K154" s="37">
        <v>29.890499999999999</v>
      </c>
      <c r="L154" s="37">
        <v>7.3385199999999999</v>
      </c>
      <c r="M154" s="37">
        <v>7.7065599999999996</v>
      </c>
      <c r="N154" s="37">
        <v>14.453250000000001</v>
      </c>
      <c r="O154" s="37">
        <v>11.823399999999999</v>
      </c>
      <c r="P154" s="38">
        <v>25.662109999999998</v>
      </c>
    </row>
    <row r="155" spans="1:16" x14ac:dyDescent="0.45">
      <c r="A155" s="48">
        <v>40395</v>
      </c>
      <c r="B155" s="37">
        <v>16.515519999999999</v>
      </c>
      <c r="C155" s="37">
        <v>40.516550000000002</v>
      </c>
      <c r="D155" s="37">
        <v>11.525600000000001</v>
      </c>
      <c r="E155" s="37">
        <v>35.479999999999997</v>
      </c>
      <c r="F155" s="37">
        <v>23.404299999999999</v>
      </c>
      <c r="G155" s="37">
        <v>27.218589999999999</v>
      </c>
      <c r="H155" s="37">
        <v>20.18544</v>
      </c>
      <c r="I155" s="37">
        <v>9.3161299999999994</v>
      </c>
      <c r="J155" s="37">
        <v>43.756100000000004</v>
      </c>
      <c r="K155" s="37">
        <v>29.523299999999999</v>
      </c>
      <c r="L155" s="37">
        <v>7.5971399999999996</v>
      </c>
      <c r="M155" s="37">
        <v>7.73062</v>
      </c>
      <c r="N155" s="37">
        <v>14.491339999999999</v>
      </c>
      <c r="O155" s="37">
        <v>11.85397</v>
      </c>
      <c r="P155" s="38">
        <v>24.230309999999999</v>
      </c>
    </row>
    <row r="156" spans="1:16" x14ac:dyDescent="0.45">
      <c r="A156" s="48">
        <v>40396</v>
      </c>
      <c r="B156" s="37">
        <v>16.38597</v>
      </c>
      <c r="C156" s="37">
        <v>40.516550000000002</v>
      </c>
      <c r="D156" s="37">
        <v>11.4856</v>
      </c>
      <c r="E156" s="37">
        <v>37.32</v>
      </c>
      <c r="F156" s="37">
        <v>23.291440000000001</v>
      </c>
      <c r="G156" s="37">
        <v>27.47054</v>
      </c>
      <c r="H156" s="37">
        <v>20.311579999999999</v>
      </c>
      <c r="I156" s="37">
        <v>9.6019000000000005</v>
      </c>
      <c r="J156" s="37">
        <v>44.226500000000001</v>
      </c>
      <c r="K156" s="37">
        <v>29.3764</v>
      </c>
      <c r="L156" s="37">
        <v>7.6941300000000004</v>
      </c>
      <c r="M156" s="37">
        <v>7.7707199999999998</v>
      </c>
      <c r="N156" s="37">
        <v>14.64343</v>
      </c>
      <c r="O156" s="37">
        <v>11.823399999999999</v>
      </c>
      <c r="P156" s="38">
        <v>24.303740000000001</v>
      </c>
    </row>
    <row r="157" spans="1:16" x14ac:dyDescent="0.45">
      <c r="A157" s="48">
        <v>40399</v>
      </c>
      <c r="B157" s="37">
        <v>16.321190000000001</v>
      </c>
      <c r="C157" s="37">
        <v>41.064999999999998</v>
      </c>
      <c r="D157" s="37">
        <v>11.5656</v>
      </c>
      <c r="E157" s="37">
        <v>36.799999999999997</v>
      </c>
      <c r="F157" s="37">
        <v>23.366620000000001</v>
      </c>
      <c r="G157" s="37">
        <v>27.47054</v>
      </c>
      <c r="H157" s="37">
        <v>20.690020000000001</v>
      </c>
      <c r="I157" s="37">
        <v>9.5733099999999993</v>
      </c>
      <c r="J157" s="37">
        <v>44.226500000000001</v>
      </c>
      <c r="K157" s="37">
        <v>30.367799999999999</v>
      </c>
      <c r="L157" s="37">
        <v>7.7911099999999998</v>
      </c>
      <c r="M157" s="37">
        <v>7.9150600000000004</v>
      </c>
      <c r="N157" s="37">
        <v>15.02378</v>
      </c>
      <c r="O157" s="37">
        <v>12.28167</v>
      </c>
      <c r="P157" s="38">
        <v>24.267029999999998</v>
      </c>
    </row>
    <row r="158" spans="1:16" x14ac:dyDescent="0.45">
      <c r="A158" s="48">
        <v>40400</v>
      </c>
      <c r="B158" s="37">
        <v>16.38597</v>
      </c>
      <c r="C158" s="37">
        <v>39.762430000000002</v>
      </c>
      <c r="D158" s="37">
        <v>11.4856</v>
      </c>
      <c r="E158" s="37">
        <v>36.33</v>
      </c>
      <c r="F158" s="37">
        <v>23.329029999999999</v>
      </c>
      <c r="G158" s="37">
        <v>26.882539999999999</v>
      </c>
      <c r="H158" s="37">
        <v>20.942309999999999</v>
      </c>
      <c r="I158" s="37">
        <v>9.5733099999999993</v>
      </c>
      <c r="J158" s="37">
        <v>43.0839</v>
      </c>
      <c r="K158" s="37">
        <v>30.2576</v>
      </c>
      <c r="L158" s="37">
        <v>7.7264600000000003</v>
      </c>
      <c r="M158" s="37">
        <v>7.81081</v>
      </c>
      <c r="N158" s="37">
        <v>14.7956</v>
      </c>
      <c r="O158" s="37">
        <v>12.159509999999999</v>
      </c>
      <c r="P158" s="38">
        <v>22.578250000000001</v>
      </c>
    </row>
    <row r="159" spans="1:16" x14ac:dyDescent="0.45">
      <c r="A159" s="48">
        <v>40401</v>
      </c>
      <c r="B159" s="37">
        <v>16.256409999999999</v>
      </c>
      <c r="C159" s="37">
        <v>38.52843</v>
      </c>
      <c r="D159" s="37">
        <v>11.4055</v>
      </c>
      <c r="E159" s="37">
        <v>35.76</v>
      </c>
      <c r="F159" s="37">
        <v>23.329029999999999</v>
      </c>
      <c r="G159" s="37">
        <v>26.546489999999999</v>
      </c>
      <c r="H159" s="37">
        <v>21.362880000000001</v>
      </c>
      <c r="I159" s="37">
        <v>9.1161200000000004</v>
      </c>
      <c r="J159" s="37">
        <v>43.0839</v>
      </c>
      <c r="K159" s="37">
        <v>28.962499999999999</v>
      </c>
      <c r="L159" s="37">
        <v>7.5971399999999996</v>
      </c>
      <c r="M159" s="37">
        <v>7.6183399999999999</v>
      </c>
      <c r="N159" s="37">
        <v>14.41525</v>
      </c>
      <c r="O159" s="37">
        <v>11.304</v>
      </c>
      <c r="P159" s="38">
        <v>21.21988</v>
      </c>
    </row>
    <row r="160" spans="1:16" x14ac:dyDescent="0.45">
      <c r="A160" s="48">
        <v>40402</v>
      </c>
      <c r="B160" s="37">
        <v>15.770709999999999</v>
      </c>
      <c r="C160" s="37">
        <v>39.076880000000003</v>
      </c>
      <c r="D160" s="37">
        <v>11.285500000000001</v>
      </c>
      <c r="E160" s="37">
        <v>36.14</v>
      </c>
      <c r="F160" s="37">
        <v>23.140889999999999</v>
      </c>
      <c r="G160" s="37">
        <v>26.504480000000001</v>
      </c>
      <c r="H160" s="37">
        <v>20.353629999999999</v>
      </c>
      <c r="I160" s="37">
        <v>9.1447000000000003</v>
      </c>
      <c r="J160" s="37">
        <v>43.352699999999999</v>
      </c>
      <c r="K160" s="37">
        <v>28.8475</v>
      </c>
      <c r="L160" s="37">
        <v>7.8234399999999997</v>
      </c>
      <c r="M160" s="37">
        <v>7.5295199999999998</v>
      </c>
      <c r="N160" s="37">
        <v>14.491339999999999</v>
      </c>
      <c r="O160" s="37">
        <v>11.45682</v>
      </c>
      <c r="P160" s="38">
        <v>21.440159999999999</v>
      </c>
    </row>
    <row r="161" spans="1:16" x14ac:dyDescent="0.45">
      <c r="A161" s="48">
        <v>40403</v>
      </c>
      <c r="B161" s="37">
        <v>15.60872</v>
      </c>
      <c r="C161" s="37">
        <v>40.653660000000002</v>
      </c>
      <c r="D161" s="37">
        <v>11.285500000000001</v>
      </c>
      <c r="E161" s="37">
        <v>35.81</v>
      </c>
      <c r="F161" s="37">
        <v>23.25376</v>
      </c>
      <c r="G161" s="37">
        <v>26.672509999999999</v>
      </c>
      <c r="H161" s="37">
        <v>20.437729999999998</v>
      </c>
      <c r="I161" s="37">
        <v>9.4304699999999997</v>
      </c>
      <c r="J161" s="37">
        <v>43.8904</v>
      </c>
      <c r="K161" s="37">
        <v>28.770800000000001</v>
      </c>
      <c r="L161" s="37">
        <v>7.6294700000000004</v>
      </c>
      <c r="M161" s="37">
        <v>7.5546499999999996</v>
      </c>
      <c r="N161" s="37">
        <v>14.833600000000001</v>
      </c>
      <c r="O161" s="37">
        <v>11.57898</v>
      </c>
      <c r="P161" s="38">
        <v>22.908660000000001</v>
      </c>
    </row>
    <row r="162" spans="1:16" x14ac:dyDescent="0.45">
      <c r="A162" s="48">
        <v>40406</v>
      </c>
      <c r="B162" s="37">
        <v>15.73828</v>
      </c>
      <c r="C162" s="37">
        <v>40.447989999999997</v>
      </c>
      <c r="D162" s="37">
        <v>11.205399999999999</v>
      </c>
      <c r="E162" s="37">
        <v>35.86</v>
      </c>
      <c r="F162" s="37">
        <v>23.178570000000001</v>
      </c>
      <c r="G162" s="37">
        <v>26.966550000000002</v>
      </c>
      <c r="H162" s="37">
        <v>20.81616</v>
      </c>
      <c r="I162" s="37">
        <v>9.4304699999999997</v>
      </c>
      <c r="J162" s="37">
        <v>43.419899999999998</v>
      </c>
      <c r="K162" s="37">
        <v>29.154299999999999</v>
      </c>
      <c r="L162" s="37">
        <v>7.6941300000000004</v>
      </c>
      <c r="M162" s="37">
        <v>7.5546499999999996</v>
      </c>
      <c r="N162" s="37">
        <v>14.75752</v>
      </c>
      <c r="O162" s="37">
        <v>11.64011</v>
      </c>
      <c r="P162" s="38">
        <v>22.761810000000001</v>
      </c>
    </row>
    <row r="163" spans="1:16" x14ac:dyDescent="0.45">
      <c r="A163" s="48">
        <v>40407</v>
      </c>
      <c r="B163" s="37">
        <v>15.544029999999999</v>
      </c>
      <c r="C163" s="37">
        <v>42.573230000000002</v>
      </c>
      <c r="D163" s="37">
        <v>11.125400000000001</v>
      </c>
      <c r="E163" s="37">
        <v>35.9</v>
      </c>
      <c r="F163" s="37">
        <v>23.028030000000001</v>
      </c>
      <c r="G163" s="37">
        <v>27.13458</v>
      </c>
      <c r="H163" s="37">
        <v>20.353629999999999</v>
      </c>
      <c r="I163" s="37">
        <v>9.5447299999999995</v>
      </c>
      <c r="J163" s="37">
        <v>44.562600000000003</v>
      </c>
      <c r="K163" s="37">
        <v>29.000900000000001</v>
      </c>
      <c r="L163" s="37">
        <v>7.6618000000000004</v>
      </c>
      <c r="M163" s="37">
        <v>7.5044000000000004</v>
      </c>
      <c r="N163" s="37">
        <v>14.41525</v>
      </c>
      <c r="O163" s="37">
        <v>11.60955</v>
      </c>
      <c r="P163" s="38">
        <v>22.174410000000002</v>
      </c>
    </row>
    <row r="164" spans="1:16" x14ac:dyDescent="0.45">
      <c r="A164" s="48">
        <v>40408</v>
      </c>
      <c r="B164" s="37">
        <v>15.544029999999999</v>
      </c>
      <c r="C164" s="37">
        <v>44.08146</v>
      </c>
      <c r="D164" s="37">
        <v>11.0854</v>
      </c>
      <c r="E164" s="37">
        <v>36.049999999999997</v>
      </c>
      <c r="F164" s="37">
        <v>23.103300000000001</v>
      </c>
      <c r="G164" s="37">
        <v>27.47054</v>
      </c>
      <c r="H164" s="37">
        <v>19.260190000000001</v>
      </c>
      <c r="I164" s="37">
        <v>9.6876499999999997</v>
      </c>
      <c r="J164" s="37">
        <v>45.436399999999999</v>
      </c>
      <c r="K164" s="37">
        <v>28.693999999999999</v>
      </c>
      <c r="L164" s="37">
        <v>7.5971399999999996</v>
      </c>
      <c r="M164" s="37">
        <v>7.4960199999999997</v>
      </c>
      <c r="N164" s="37">
        <v>14.26308</v>
      </c>
      <c r="O164" s="37">
        <v>11.48729</v>
      </c>
      <c r="P164" s="38">
        <v>22.24783</v>
      </c>
    </row>
    <row r="165" spans="1:16" x14ac:dyDescent="0.45">
      <c r="A165" s="48">
        <v>40409</v>
      </c>
      <c r="B165" s="37">
        <v>15.73828</v>
      </c>
      <c r="C165" s="37">
        <v>43.32734</v>
      </c>
      <c r="D165" s="37">
        <v>11.1654</v>
      </c>
      <c r="E165" s="37">
        <v>35.86</v>
      </c>
      <c r="F165" s="37">
        <v>23.140889999999999</v>
      </c>
      <c r="G165" s="37">
        <v>27.47054</v>
      </c>
      <c r="H165" s="37">
        <v>19.176089999999999</v>
      </c>
      <c r="I165" s="37">
        <v>9.5162300000000002</v>
      </c>
      <c r="J165" s="37">
        <v>44.831499999999998</v>
      </c>
      <c r="K165" s="37">
        <v>28.3871</v>
      </c>
      <c r="L165" s="37">
        <v>7.3708499999999999</v>
      </c>
      <c r="M165" s="37">
        <v>7.3787599999999998</v>
      </c>
      <c r="N165" s="37">
        <v>14.22508</v>
      </c>
      <c r="O165" s="37">
        <v>11.24296</v>
      </c>
      <c r="P165" s="38">
        <v>23.789760000000001</v>
      </c>
    </row>
    <row r="166" spans="1:16" x14ac:dyDescent="0.45">
      <c r="A166" s="48">
        <v>40410</v>
      </c>
      <c r="B166" s="37">
        <v>15.770709999999999</v>
      </c>
      <c r="C166" s="37">
        <v>45.932470000000002</v>
      </c>
      <c r="D166" s="37">
        <v>11.0854</v>
      </c>
      <c r="E166" s="37">
        <v>35.25</v>
      </c>
      <c r="F166" s="37">
        <v>23.065619999999999</v>
      </c>
      <c r="G166" s="37">
        <v>27.722580000000001</v>
      </c>
      <c r="H166" s="37">
        <v>19.47052</v>
      </c>
      <c r="I166" s="37">
        <v>10.17343</v>
      </c>
      <c r="J166" s="37">
        <v>45.705199999999998</v>
      </c>
      <c r="K166" s="37">
        <v>28.3871</v>
      </c>
      <c r="L166" s="37">
        <v>7.5648099999999996</v>
      </c>
      <c r="M166" s="37">
        <v>7.3368900000000004</v>
      </c>
      <c r="N166" s="37">
        <v>14.110989999999999</v>
      </c>
      <c r="O166" s="37">
        <v>11.273529999999999</v>
      </c>
      <c r="P166" s="38">
        <v>22.137689999999999</v>
      </c>
    </row>
    <row r="167" spans="1:16" x14ac:dyDescent="0.45">
      <c r="A167" s="48">
        <v>40413</v>
      </c>
      <c r="B167" s="37">
        <v>15.93261</v>
      </c>
      <c r="C167" s="37">
        <v>45.726799999999997</v>
      </c>
      <c r="D167" s="37">
        <v>11.0053</v>
      </c>
      <c r="E167" s="37">
        <v>35.06</v>
      </c>
      <c r="F167" s="37">
        <v>23.028030000000001</v>
      </c>
      <c r="G167" s="37">
        <v>27.890599999999999</v>
      </c>
      <c r="H167" s="37">
        <v>19.344380000000001</v>
      </c>
      <c r="I167" s="37">
        <v>10.4307</v>
      </c>
      <c r="J167" s="37">
        <v>47.318300000000001</v>
      </c>
      <c r="K167" s="37">
        <v>28.962499999999999</v>
      </c>
      <c r="L167" s="37">
        <v>7.7264600000000003</v>
      </c>
      <c r="M167" s="37">
        <v>7.4457700000000004</v>
      </c>
      <c r="N167" s="37">
        <v>14.491339999999999</v>
      </c>
      <c r="O167" s="37">
        <v>11.73171</v>
      </c>
      <c r="P167" s="38">
        <v>22.027560000000001</v>
      </c>
    </row>
    <row r="168" spans="1:16" x14ac:dyDescent="0.45">
      <c r="A168" s="48">
        <v>40414</v>
      </c>
      <c r="B168" s="37">
        <v>15.70593</v>
      </c>
      <c r="C168" s="37">
        <v>44.972679999999997</v>
      </c>
      <c r="D168" s="37">
        <v>10.805199999999999</v>
      </c>
      <c r="E168" s="37">
        <v>34.68</v>
      </c>
      <c r="F168" s="37">
        <v>22.91516</v>
      </c>
      <c r="G168" s="37">
        <v>29.57077</v>
      </c>
      <c r="H168" s="37">
        <v>19.386430000000001</v>
      </c>
      <c r="I168" s="37">
        <v>10.4307</v>
      </c>
      <c r="J168" s="37">
        <v>46.377400000000002</v>
      </c>
      <c r="K168" s="37">
        <v>28.693999999999999</v>
      </c>
      <c r="L168" s="37">
        <v>7.7587799999999998</v>
      </c>
      <c r="M168" s="37">
        <v>7.4290200000000004</v>
      </c>
      <c r="N168" s="37">
        <v>14.64343</v>
      </c>
      <c r="O168" s="37">
        <v>11.70124</v>
      </c>
      <c r="P168" s="38">
        <v>22.394680000000001</v>
      </c>
    </row>
    <row r="169" spans="1:16" x14ac:dyDescent="0.45">
      <c r="A169" s="48">
        <v>40415</v>
      </c>
      <c r="B169" s="37">
        <v>15.25257</v>
      </c>
      <c r="C169" s="37">
        <v>43.19023</v>
      </c>
      <c r="D169" s="37">
        <v>10.485099999999999</v>
      </c>
      <c r="E169" s="37">
        <v>32.520000000000003</v>
      </c>
      <c r="F169" s="37">
        <v>22.50121</v>
      </c>
      <c r="G169" s="37">
        <v>28.310669999999998</v>
      </c>
      <c r="H169" s="37">
        <v>18.33503</v>
      </c>
      <c r="I169" s="37">
        <v>9.7448200000000007</v>
      </c>
      <c r="J169" s="37">
        <v>44.360999999999997</v>
      </c>
      <c r="K169" s="37">
        <v>28.118600000000001</v>
      </c>
      <c r="L169" s="37">
        <v>7.4031700000000003</v>
      </c>
      <c r="M169" s="37">
        <v>7.1693800000000003</v>
      </c>
      <c r="N169" s="37">
        <v>14.14899</v>
      </c>
      <c r="O169" s="37">
        <v>11.304</v>
      </c>
      <c r="P169" s="38">
        <v>21.36673</v>
      </c>
    </row>
    <row r="170" spans="1:16" x14ac:dyDescent="0.45">
      <c r="A170" s="48">
        <v>40416</v>
      </c>
      <c r="B170" s="37">
        <v>15.02589</v>
      </c>
      <c r="C170" s="37">
        <v>42.367559999999997</v>
      </c>
      <c r="D170" s="37">
        <v>10.6051</v>
      </c>
      <c r="E170" s="37">
        <v>31.43</v>
      </c>
      <c r="F170" s="37">
        <v>22.538889999999999</v>
      </c>
      <c r="G170" s="37">
        <v>26.672509999999999</v>
      </c>
      <c r="H170" s="37">
        <v>18.37717</v>
      </c>
      <c r="I170" s="37">
        <v>10.31636</v>
      </c>
      <c r="J170" s="37">
        <v>44.226500000000001</v>
      </c>
      <c r="K170" s="37">
        <v>27.965199999999999</v>
      </c>
      <c r="L170" s="37">
        <v>7.24153</v>
      </c>
      <c r="M170" s="37">
        <v>7.0437500000000002</v>
      </c>
      <c r="N170" s="37">
        <v>13.76864</v>
      </c>
      <c r="O170" s="37">
        <v>11.15127</v>
      </c>
      <c r="P170" s="38">
        <v>20.595770000000002</v>
      </c>
    </row>
    <row r="171" spans="1:16" x14ac:dyDescent="0.45">
      <c r="A171" s="48">
        <v>40417</v>
      </c>
      <c r="B171" s="37">
        <v>15.15537</v>
      </c>
      <c r="C171" s="37">
        <v>43.19023</v>
      </c>
      <c r="D171" s="37">
        <v>10.4451</v>
      </c>
      <c r="E171" s="37">
        <v>32.28</v>
      </c>
      <c r="F171" s="37">
        <v>22.877479999999998</v>
      </c>
      <c r="G171" s="37">
        <v>26.37846</v>
      </c>
      <c r="H171" s="37">
        <v>18.503319999999999</v>
      </c>
      <c r="I171" s="37">
        <v>10.459199999999999</v>
      </c>
      <c r="J171" s="37">
        <v>46.579000000000001</v>
      </c>
      <c r="K171" s="37">
        <v>28.233699999999999</v>
      </c>
      <c r="L171" s="37">
        <v>7.30619</v>
      </c>
      <c r="M171" s="37">
        <v>7.1358699999999997</v>
      </c>
      <c r="N171" s="37">
        <v>13.920809999999999</v>
      </c>
      <c r="O171" s="37">
        <v>11.181839999999999</v>
      </c>
      <c r="P171" s="38">
        <v>20.66919</v>
      </c>
    </row>
    <row r="172" spans="1:16" x14ac:dyDescent="0.45">
      <c r="A172" s="48">
        <v>40420</v>
      </c>
      <c r="B172" s="37">
        <v>14.70201</v>
      </c>
      <c r="C172" s="37">
        <v>43.875790000000002</v>
      </c>
      <c r="D172" s="37">
        <v>10.4451</v>
      </c>
      <c r="E172" s="37">
        <v>32.42</v>
      </c>
      <c r="F172" s="37">
        <v>22.91516</v>
      </c>
      <c r="G172" s="37">
        <v>26.714510000000001</v>
      </c>
      <c r="H172" s="37">
        <v>18.33503</v>
      </c>
      <c r="I172" s="37">
        <v>10.68788</v>
      </c>
      <c r="J172" s="37">
        <v>47.587200000000003</v>
      </c>
      <c r="K172" s="37">
        <v>28.578900000000001</v>
      </c>
      <c r="L172" s="37">
        <v>7.4678300000000002</v>
      </c>
      <c r="M172" s="37">
        <v>7.1945100000000002</v>
      </c>
      <c r="N172" s="37">
        <v>13.99681</v>
      </c>
      <c r="O172" s="37">
        <v>11.273529999999999</v>
      </c>
      <c r="P172" s="38">
        <v>19.237400000000001</v>
      </c>
    </row>
    <row r="173" spans="1:16" x14ac:dyDescent="0.45">
      <c r="A173" s="48">
        <v>40421</v>
      </c>
      <c r="B173" s="37">
        <v>14.281079999999999</v>
      </c>
      <c r="C173" s="37">
        <v>42.91601</v>
      </c>
      <c r="D173" s="37">
        <v>10.404999999999999</v>
      </c>
      <c r="E173" s="37">
        <v>30.77</v>
      </c>
      <c r="F173" s="37">
        <v>22.802209999999999</v>
      </c>
      <c r="G173" s="37">
        <v>26.0425</v>
      </c>
      <c r="H173" s="37">
        <v>17.872499999999999</v>
      </c>
      <c r="I173" s="37">
        <v>10.459199999999999</v>
      </c>
      <c r="J173" s="37">
        <v>46.511800000000001</v>
      </c>
      <c r="K173" s="37">
        <v>28.6556</v>
      </c>
      <c r="L173" s="37">
        <v>7.2738500000000004</v>
      </c>
      <c r="M173" s="37">
        <v>7.3452599999999997</v>
      </c>
      <c r="N173" s="37">
        <v>13.84473</v>
      </c>
      <c r="O173" s="37">
        <v>11.304</v>
      </c>
      <c r="P173" s="38">
        <v>17.915749999999999</v>
      </c>
    </row>
    <row r="174" spans="1:16" x14ac:dyDescent="0.45">
      <c r="A174" s="48">
        <v>40422</v>
      </c>
      <c r="B174" s="37">
        <v>14.2163</v>
      </c>
      <c r="C174" s="37">
        <v>45.38402</v>
      </c>
      <c r="D174" s="37">
        <v>10.365</v>
      </c>
      <c r="E174" s="37">
        <v>31.1</v>
      </c>
      <c r="F174" s="37">
        <v>22.802209999999999</v>
      </c>
      <c r="G174" s="37">
        <v>26.210429999999999</v>
      </c>
      <c r="H174" s="37">
        <v>18.88175</v>
      </c>
      <c r="I174" s="37">
        <v>10.973649999999999</v>
      </c>
      <c r="J174" s="37">
        <v>49.738100000000003</v>
      </c>
      <c r="K174" s="37">
        <v>28.809100000000001</v>
      </c>
      <c r="L174" s="37">
        <v>7.30619</v>
      </c>
      <c r="M174" s="37">
        <v>7.2447499999999998</v>
      </c>
      <c r="N174" s="37">
        <v>13.80664</v>
      </c>
      <c r="O174" s="37">
        <v>11.304</v>
      </c>
      <c r="P174" s="38">
        <v>19.163979999999999</v>
      </c>
    </row>
    <row r="175" spans="1:16" x14ac:dyDescent="0.45">
      <c r="A175" s="48">
        <v>40423</v>
      </c>
      <c r="B175" s="37">
        <v>14.70201</v>
      </c>
      <c r="C175" s="37">
        <v>45.1098</v>
      </c>
      <c r="D175" s="37">
        <v>10.565099999999999</v>
      </c>
      <c r="E175" s="37">
        <v>31.06</v>
      </c>
      <c r="F175" s="37">
        <v>22.877479999999998</v>
      </c>
      <c r="G175" s="37">
        <v>25.832470000000001</v>
      </c>
      <c r="H175" s="37">
        <v>19.007899999999999</v>
      </c>
      <c r="I175" s="37">
        <v>11.03082</v>
      </c>
      <c r="J175" s="37">
        <v>49.402000000000001</v>
      </c>
      <c r="K175" s="37">
        <v>28.809100000000001</v>
      </c>
      <c r="L175" s="37">
        <v>7.30619</v>
      </c>
      <c r="M175" s="37">
        <v>7.2531400000000001</v>
      </c>
      <c r="N175" s="37">
        <v>13.99681</v>
      </c>
      <c r="O175" s="37">
        <v>11.273529999999999</v>
      </c>
      <c r="P175" s="38">
        <v>20.48563</v>
      </c>
    </row>
    <row r="176" spans="1:16" x14ac:dyDescent="0.45">
      <c r="A176" s="48">
        <v>40424</v>
      </c>
      <c r="B176" s="37">
        <v>14.961119999999999</v>
      </c>
      <c r="C176" s="37">
        <v>43.533009999999997</v>
      </c>
      <c r="D176" s="37">
        <v>10.6852</v>
      </c>
      <c r="E176" s="37">
        <v>31.53</v>
      </c>
      <c r="F176" s="37">
        <v>22.990349999999999</v>
      </c>
      <c r="G176" s="37">
        <v>26.12642</v>
      </c>
      <c r="H176" s="37">
        <v>18.83971</v>
      </c>
      <c r="I176" s="37">
        <v>10.94506</v>
      </c>
      <c r="J176" s="37">
        <v>47.721600000000002</v>
      </c>
      <c r="K176" s="37">
        <v>28.924199999999999</v>
      </c>
      <c r="L176" s="37">
        <v>7.30619</v>
      </c>
      <c r="M176" s="37">
        <v>7.2698799999999997</v>
      </c>
      <c r="N176" s="37">
        <v>14.18708</v>
      </c>
      <c r="O176" s="37">
        <v>11.517860000000001</v>
      </c>
      <c r="P176" s="38">
        <v>20.191929999999999</v>
      </c>
    </row>
    <row r="177" spans="1:16" x14ac:dyDescent="0.45">
      <c r="A177" s="48">
        <v>40427</v>
      </c>
      <c r="B177" s="37">
        <v>14.89634</v>
      </c>
      <c r="C177" s="37">
        <v>43.944339999999997</v>
      </c>
      <c r="D177" s="37">
        <v>10.645099999999999</v>
      </c>
      <c r="E177" s="37">
        <v>32.47</v>
      </c>
      <c r="F177" s="37">
        <v>23.329029999999999</v>
      </c>
      <c r="G177" s="37">
        <v>26.79853</v>
      </c>
      <c r="H177" s="37">
        <v>18.545369999999998</v>
      </c>
      <c r="I177" s="37">
        <v>11.288</v>
      </c>
      <c r="J177" s="37">
        <v>47.788800000000002</v>
      </c>
      <c r="K177" s="37">
        <v>28.962499999999999</v>
      </c>
      <c r="L177" s="37">
        <v>7.3385199999999999</v>
      </c>
      <c r="M177" s="37">
        <v>7.2950100000000004</v>
      </c>
      <c r="N177" s="37">
        <v>14.37717</v>
      </c>
      <c r="O177" s="37">
        <v>11.60955</v>
      </c>
      <c r="P177" s="38">
        <v>20.595770000000002</v>
      </c>
    </row>
    <row r="178" spans="1:16" x14ac:dyDescent="0.45">
      <c r="A178" s="48">
        <v>40428</v>
      </c>
      <c r="B178" s="37">
        <v>14.993460000000001</v>
      </c>
      <c r="C178" s="37">
        <v>45.041240000000002</v>
      </c>
      <c r="D178" s="37">
        <v>10.5251</v>
      </c>
      <c r="E178" s="37">
        <v>32.75</v>
      </c>
      <c r="F178" s="37">
        <v>24.081579999999999</v>
      </c>
      <c r="G178" s="37">
        <v>26.504480000000001</v>
      </c>
      <c r="H178" s="37">
        <v>18.419219999999999</v>
      </c>
      <c r="I178" s="37">
        <v>12.03096</v>
      </c>
      <c r="J178" s="37">
        <v>47.788800000000002</v>
      </c>
      <c r="K178" s="37">
        <v>28.8475</v>
      </c>
      <c r="L178" s="37">
        <v>7.30619</v>
      </c>
      <c r="M178" s="37">
        <v>7.2531400000000001</v>
      </c>
      <c r="N178" s="37">
        <v>14.301170000000001</v>
      </c>
      <c r="O178" s="37">
        <v>11.60955</v>
      </c>
      <c r="P178" s="38">
        <v>20.191929999999999</v>
      </c>
    </row>
    <row r="179" spans="1:16" x14ac:dyDescent="0.45">
      <c r="A179" s="48">
        <v>40429</v>
      </c>
      <c r="B179" s="37">
        <v>14.961119999999999</v>
      </c>
      <c r="C179" s="37">
        <v>44.904130000000002</v>
      </c>
      <c r="D179" s="37">
        <v>10.6051</v>
      </c>
      <c r="E179" s="37">
        <v>32.28</v>
      </c>
      <c r="F179" s="37">
        <v>23.818169999999999</v>
      </c>
      <c r="G179" s="37">
        <v>26.46247</v>
      </c>
      <c r="H179" s="37">
        <v>18.082740000000001</v>
      </c>
      <c r="I179" s="37">
        <v>11.716609999999999</v>
      </c>
      <c r="J179" s="37">
        <v>47.318300000000001</v>
      </c>
      <c r="K179" s="37">
        <v>28.540500000000002</v>
      </c>
      <c r="L179" s="37">
        <v>7.3385199999999999</v>
      </c>
      <c r="M179" s="37">
        <v>7.2363799999999996</v>
      </c>
      <c r="N179" s="37">
        <v>14.110989999999999</v>
      </c>
      <c r="O179" s="37">
        <v>11.517860000000001</v>
      </c>
      <c r="P179" s="38">
        <v>21.109739999999999</v>
      </c>
    </row>
    <row r="180" spans="1:16" x14ac:dyDescent="0.45">
      <c r="A180" s="48">
        <v>40430</v>
      </c>
      <c r="B180" s="37">
        <v>14.76679</v>
      </c>
      <c r="C180" s="37">
        <v>42.641779999999997</v>
      </c>
      <c r="D180" s="37">
        <v>10.6051</v>
      </c>
      <c r="E180" s="37">
        <v>31.9</v>
      </c>
      <c r="F180" s="37">
        <v>23.742979999999999</v>
      </c>
      <c r="G180" s="37">
        <v>26.210429999999999</v>
      </c>
      <c r="H180" s="37">
        <v>17.283729999999998</v>
      </c>
      <c r="I180" s="37">
        <v>11.488009999999999</v>
      </c>
      <c r="J180" s="37">
        <v>46.7806</v>
      </c>
      <c r="K180" s="37">
        <v>28.4255</v>
      </c>
      <c r="L180" s="37">
        <v>7.2738500000000004</v>
      </c>
      <c r="M180" s="37">
        <v>7.2196300000000004</v>
      </c>
      <c r="N180" s="37">
        <v>13.95881</v>
      </c>
      <c r="O180" s="37">
        <v>11.39569</v>
      </c>
      <c r="P180" s="38">
        <v>20.559049999999999</v>
      </c>
    </row>
    <row r="181" spans="1:16" x14ac:dyDescent="0.45">
      <c r="A181" s="48">
        <v>40431</v>
      </c>
      <c r="B181" s="37">
        <v>15.05824</v>
      </c>
      <c r="C181" s="37">
        <v>42.847450000000002</v>
      </c>
      <c r="D181" s="37">
        <v>10.725199999999999</v>
      </c>
      <c r="E181" s="37">
        <v>32.090000000000003</v>
      </c>
      <c r="F181" s="37">
        <v>23.893439999999998</v>
      </c>
      <c r="G181" s="37">
        <v>26.37846</v>
      </c>
      <c r="H181" s="37">
        <v>17.57807</v>
      </c>
      <c r="I181" s="37">
        <v>11.859529999999999</v>
      </c>
      <c r="J181" s="37">
        <v>46.579000000000001</v>
      </c>
      <c r="K181" s="37">
        <v>29.039300000000001</v>
      </c>
      <c r="L181" s="37">
        <v>7.3708499999999999</v>
      </c>
      <c r="M181" s="37">
        <v>7.2698799999999997</v>
      </c>
      <c r="N181" s="37">
        <v>14.072900000000001</v>
      </c>
      <c r="O181" s="37">
        <v>11.54842</v>
      </c>
      <c r="P181" s="38">
        <v>20.191929999999999</v>
      </c>
    </row>
    <row r="182" spans="1:16" x14ac:dyDescent="0.45">
      <c r="A182" s="48">
        <v>40434</v>
      </c>
      <c r="B182" s="37">
        <v>15.220140000000001</v>
      </c>
      <c r="C182" s="37">
        <v>45.658239999999999</v>
      </c>
      <c r="D182" s="37">
        <v>10.965299999999999</v>
      </c>
      <c r="E182" s="37">
        <v>32.659999999999997</v>
      </c>
      <c r="F182" s="37">
        <v>24.156849999999999</v>
      </c>
      <c r="G182" s="37">
        <v>27.13458</v>
      </c>
      <c r="H182" s="37">
        <v>18.25094</v>
      </c>
      <c r="I182" s="37">
        <v>12.61997</v>
      </c>
      <c r="J182" s="37">
        <v>48.326500000000003</v>
      </c>
      <c r="K182" s="37">
        <v>30.0366</v>
      </c>
      <c r="L182" s="37">
        <v>7.6294700000000004</v>
      </c>
      <c r="M182" s="37">
        <v>7.4792699999999996</v>
      </c>
      <c r="N182" s="37">
        <v>14.56743</v>
      </c>
      <c r="O182" s="37">
        <v>11.85397</v>
      </c>
      <c r="P182" s="38">
        <v>20.559049999999999</v>
      </c>
    </row>
    <row r="183" spans="1:16" x14ac:dyDescent="0.45">
      <c r="A183" s="48">
        <v>40435</v>
      </c>
      <c r="B183" s="37">
        <v>15.673500000000001</v>
      </c>
      <c r="C183" s="37">
        <v>44.972679999999997</v>
      </c>
      <c r="D183" s="37">
        <v>11.1654</v>
      </c>
      <c r="E183" s="37">
        <v>32.799999999999997</v>
      </c>
      <c r="F183" s="37">
        <v>24.232119999999998</v>
      </c>
      <c r="G183" s="37">
        <v>27.13458</v>
      </c>
      <c r="H183" s="37">
        <v>18.082740000000001</v>
      </c>
      <c r="I183" s="37">
        <v>13.3712</v>
      </c>
      <c r="J183" s="37">
        <v>47.788800000000002</v>
      </c>
      <c r="K183" s="37">
        <v>29.921600000000002</v>
      </c>
      <c r="L183" s="37">
        <v>7.5971399999999996</v>
      </c>
      <c r="M183" s="37">
        <v>7.46251</v>
      </c>
      <c r="N183" s="37">
        <v>14.60543</v>
      </c>
      <c r="O183" s="37">
        <v>11.915089999999999</v>
      </c>
      <c r="P183" s="38">
        <v>21.109739999999999</v>
      </c>
    </row>
    <row r="184" spans="1:16" x14ac:dyDescent="0.45">
      <c r="A184" s="48">
        <v>40436</v>
      </c>
      <c r="B184" s="37">
        <v>15.673500000000001</v>
      </c>
      <c r="C184" s="37">
        <v>45.932470000000002</v>
      </c>
      <c r="D184" s="37">
        <v>11.0854</v>
      </c>
      <c r="E184" s="37">
        <v>32.61</v>
      </c>
      <c r="F184" s="37">
        <v>24.232119999999998</v>
      </c>
      <c r="G184" s="37">
        <v>26.966550000000002</v>
      </c>
      <c r="H184" s="37">
        <v>18.33503</v>
      </c>
      <c r="I184" s="37">
        <v>13.912039999999999</v>
      </c>
      <c r="J184" s="37">
        <v>48.528199999999998</v>
      </c>
      <c r="K184" s="37">
        <v>30.458600000000001</v>
      </c>
      <c r="L184" s="37">
        <v>7.5648099999999996</v>
      </c>
      <c r="M184" s="37">
        <v>7.4792699999999996</v>
      </c>
      <c r="N184" s="37">
        <v>14.719519999999999</v>
      </c>
      <c r="O184" s="37">
        <v>11.945650000000001</v>
      </c>
      <c r="P184" s="38">
        <v>21.109739999999999</v>
      </c>
    </row>
    <row r="185" spans="1:16" x14ac:dyDescent="0.45">
      <c r="A185" s="48">
        <v>40437</v>
      </c>
      <c r="B185" s="37">
        <v>15.60872</v>
      </c>
      <c r="C185" s="37">
        <v>44.904130000000002</v>
      </c>
      <c r="D185" s="37">
        <v>10.965299999999999</v>
      </c>
      <c r="E185" s="37">
        <v>32.61</v>
      </c>
      <c r="F185" s="37">
        <v>24.119260000000001</v>
      </c>
      <c r="G185" s="37">
        <v>26.79853</v>
      </c>
      <c r="H185" s="37">
        <v>18.37717</v>
      </c>
      <c r="I185" s="37">
        <v>13.70166</v>
      </c>
      <c r="J185" s="37">
        <v>48.393700000000003</v>
      </c>
      <c r="K185" s="37">
        <v>29.9983</v>
      </c>
      <c r="L185" s="37">
        <v>7.5324799999999996</v>
      </c>
      <c r="M185" s="37">
        <v>7.4373899999999997</v>
      </c>
      <c r="N185" s="37">
        <v>14.491339999999999</v>
      </c>
      <c r="O185" s="37">
        <v>11.915089999999999</v>
      </c>
      <c r="P185" s="38">
        <v>20.85275</v>
      </c>
    </row>
    <row r="186" spans="1:16" x14ac:dyDescent="0.45">
      <c r="A186" s="48">
        <v>40438</v>
      </c>
      <c r="B186" s="37">
        <v>15.86783</v>
      </c>
      <c r="C186" s="37">
        <v>45.795360000000002</v>
      </c>
      <c r="D186" s="37">
        <v>11.045299999999999</v>
      </c>
      <c r="E186" s="37">
        <v>32.799999999999997</v>
      </c>
      <c r="F186" s="37">
        <v>24.081579999999999</v>
      </c>
      <c r="G186" s="37">
        <v>26.630500000000001</v>
      </c>
      <c r="H186" s="37">
        <v>19.049949999999999</v>
      </c>
      <c r="I186" s="37">
        <v>13.581490000000001</v>
      </c>
      <c r="J186" s="37">
        <v>48.595399999999998</v>
      </c>
      <c r="K186" s="37">
        <v>30.381900000000002</v>
      </c>
      <c r="L186" s="37">
        <v>7.5324799999999996</v>
      </c>
      <c r="M186" s="37">
        <v>7.4876399999999999</v>
      </c>
      <c r="N186" s="37">
        <v>14.60543</v>
      </c>
      <c r="O186" s="37">
        <v>12.12895</v>
      </c>
      <c r="P186" s="38">
        <v>20.779330000000002</v>
      </c>
    </row>
    <row r="187" spans="1:16" x14ac:dyDescent="0.45">
      <c r="A187" s="48">
        <v>40441</v>
      </c>
      <c r="B187" s="37">
        <v>15.86783</v>
      </c>
      <c r="C187" s="37">
        <v>45.932470000000002</v>
      </c>
      <c r="D187" s="37">
        <v>11.0053</v>
      </c>
      <c r="E187" s="37">
        <v>33.409999999999997</v>
      </c>
      <c r="F187" s="37">
        <v>24.420259999999999</v>
      </c>
      <c r="G187" s="37">
        <v>26.46247</v>
      </c>
      <c r="H187" s="37">
        <v>18.9238</v>
      </c>
      <c r="I187" s="37">
        <v>13.85188</v>
      </c>
      <c r="J187" s="37">
        <v>48.8643</v>
      </c>
      <c r="K187" s="37">
        <v>30.151700000000002</v>
      </c>
      <c r="L187" s="37">
        <v>7.6294700000000004</v>
      </c>
      <c r="M187" s="37">
        <v>7.4960199999999997</v>
      </c>
      <c r="N187" s="37">
        <v>14.64343</v>
      </c>
      <c r="O187" s="37">
        <v>12.12895</v>
      </c>
      <c r="P187" s="38">
        <v>21.03632</v>
      </c>
    </row>
    <row r="188" spans="1:16" x14ac:dyDescent="0.45">
      <c r="A188" s="48">
        <v>40442</v>
      </c>
      <c r="B188" s="37">
        <v>16.09451</v>
      </c>
      <c r="C188" s="37">
        <v>45.315460000000002</v>
      </c>
      <c r="D188" s="37">
        <v>11.0854</v>
      </c>
      <c r="E188" s="37">
        <v>33.03</v>
      </c>
      <c r="F188" s="37">
        <v>24.420259999999999</v>
      </c>
      <c r="G188" s="37">
        <v>26.672509999999999</v>
      </c>
      <c r="H188" s="37">
        <v>18.629460000000002</v>
      </c>
      <c r="I188" s="37">
        <v>13.160819999999999</v>
      </c>
      <c r="J188" s="37">
        <v>48.528199999999998</v>
      </c>
      <c r="K188" s="37">
        <v>30.2668</v>
      </c>
      <c r="L188" s="37">
        <v>7.6618000000000004</v>
      </c>
      <c r="M188" s="37">
        <v>7.4960199999999997</v>
      </c>
      <c r="N188" s="37">
        <v>14.64343</v>
      </c>
      <c r="O188" s="37">
        <v>12.19007</v>
      </c>
      <c r="P188" s="38">
        <v>20.7059</v>
      </c>
    </row>
    <row r="189" spans="1:16" x14ac:dyDescent="0.45">
      <c r="A189" s="48">
        <v>40443</v>
      </c>
      <c r="B189" s="37">
        <v>16.09451</v>
      </c>
      <c r="C189" s="37">
        <v>45.315460000000002</v>
      </c>
      <c r="D189" s="37">
        <v>11.0854</v>
      </c>
      <c r="E189" s="37">
        <v>33.03</v>
      </c>
      <c r="F189" s="37">
        <v>24.420259999999999</v>
      </c>
      <c r="G189" s="37">
        <v>26.672509999999999</v>
      </c>
      <c r="H189" s="37">
        <v>18.629460000000002</v>
      </c>
      <c r="I189" s="37">
        <v>13.160819999999999</v>
      </c>
      <c r="J189" s="37">
        <v>48.528199999999998</v>
      </c>
      <c r="K189" s="37">
        <v>30.2668</v>
      </c>
      <c r="L189" s="37">
        <v>7.6618000000000004</v>
      </c>
      <c r="M189" s="37">
        <v>7.4960199999999997</v>
      </c>
      <c r="N189" s="37">
        <v>14.64343</v>
      </c>
      <c r="O189" s="37">
        <v>12.19007</v>
      </c>
      <c r="P189" s="38">
        <v>20.7059</v>
      </c>
    </row>
    <row r="190" spans="1:16" x14ac:dyDescent="0.45">
      <c r="A190" s="48">
        <v>40444</v>
      </c>
      <c r="B190" s="37">
        <v>16.09451</v>
      </c>
      <c r="C190" s="37">
        <v>43.738680000000002</v>
      </c>
      <c r="D190" s="37">
        <v>11.0854</v>
      </c>
      <c r="E190" s="37">
        <v>32.659999999999997</v>
      </c>
      <c r="F190" s="37">
        <v>24.382580000000001</v>
      </c>
      <c r="G190" s="37">
        <v>26.714510000000001</v>
      </c>
      <c r="H190" s="37">
        <v>18.33503</v>
      </c>
      <c r="I190" s="37">
        <v>12.559889999999999</v>
      </c>
      <c r="J190" s="37">
        <v>48.595399999999998</v>
      </c>
      <c r="K190" s="37">
        <v>29.883199999999999</v>
      </c>
      <c r="L190" s="37">
        <v>7.6941300000000004</v>
      </c>
      <c r="M190" s="37">
        <v>7.5713999999999997</v>
      </c>
      <c r="N190" s="37">
        <v>14.681520000000001</v>
      </c>
      <c r="O190" s="37">
        <v>12.464969999999999</v>
      </c>
      <c r="P190" s="38">
        <v>20.742619999999999</v>
      </c>
    </row>
    <row r="191" spans="1:16" x14ac:dyDescent="0.45">
      <c r="A191" s="48">
        <v>40445</v>
      </c>
      <c r="B191" s="37">
        <v>15.93261</v>
      </c>
      <c r="C191" s="37">
        <v>43.807229999999997</v>
      </c>
      <c r="D191" s="37">
        <v>10.965299999999999</v>
      </c>
      <c r="E191" s="37">
        <v>32.14</v>
      </c>
      <c r="F191" s="37">
        <v>24.232119999999998</v>
      </c>
      <c r="G191" s="37">
        <v>26.714510000000001</v>
      </c>
      <c r="H191" s="37">
        <v>18.124790000000001</v>
      </c>
      <c r="I191" s="37">
        <v>12.86031</v>
      </c>
      <c r="J191" s="37">
        <v>49.267600000000002</v>
      </c>
      <c r="K191" s="37">
        <v>29.8065</v>
      </c>
      <c r="L191" s="37">
        <v>7.6294700000000004</v>
      </c>
      <c r="M191" s="37">
        <v>7.6048999999999998</v>
      </c>
      <c r="N191" s="37">
        <v>14.64343</v>
      </c>
      <c r="O191" s="37">
        <v>12.49553</v>
      </c>
      <c r="P191" s="38">
        <v>20.559049999999999</v>
      </c>
    </row>
    <row r="192" spans="1:16" x14ac:dyDescent="0.45">
      <c r="A192" s="48">
        <v>40448</v>
      </c>
      <c r="B192" s="37">
        <v>15.997389999999999</v>
      </c>
      <c r="C192" s="37">
        <v>43.944339999999997</v>
      </c>
      <c r="D192" s="37">
        <v>11.0053</v>
      </c>
      <c r="E192" s="37">
        <v>32.28</v>
      </c>
      <c r="F192" s="37">
        <v>24.382580000000001</v>
      </c>
      <c r="G192" s="37">
        <v>27.428629999999998</v>
      </c>
      <c r="H192" s="37">
        <v>18.29298</v>
      </c>
      <c r="I192" s="37">
        <v>12.89044</v>
      </c>
      <c r="J192" s="37">
        <v>50.880699999999997</v>
      </c>
      <c r="K192" s="37">
        <v>29.7681</v>
      </c>
      <c r="L192" s="37">
        <v>7.6618000000000004</v>
      </c>
      <c r="M192" s="37">
        <v>7.6300299999999996</v>
      </c>
      <c r="N192" s="37">
        <v>14.529339999999999</v>
      </c>
      <c r="O192" s="37">
        <v>12.89268</v>
      </c>
      <c r="P192" s="38">
        <v>21.770569999999999</v>
      </c>
    </row>
    <row r="193" spans="1:16" x14ac:dyDescent="0.45">
      <c r="A193" s="48">
        <v>40449</v>
      </c>
      <c r="B193" s="37">
        <v>16.062159999999999</v>
      </c>
      <c r="C193" s="37">
        <v>43.19023</v>
      </c>
      <c r="D193" s="37">
        <v>11.0053</v>
      </c>
      <c r="E193" s="37">
        <v>33.130000000000003</v>
      </c>
      <c r="F193" s="37">
        <v>24.307310000000001</v>
      </c>
      <c r="G193" s="37">
        <v>26.966550000000002</v>
      </c>
      <c r="H193" s="37">
        <v>18.419219999999999</v>
      </c>
      <c r="I193" s="37">
        <v>12.589930000000001</v>
      </c>
      <c r="J193" s="37">
        <v>51.216700000000003</v>
      </c>
      <c r="K193" s="37">
        <v>29.614699999999999</v>
      </c>
      <c r="L193" s="37">
        <v>7.5324799999999996</v>
      </c>
      <c r="M193" s="37">
        <v>7.5713999999999997</v>
      </c>
      <c r="N193" s="37">
        <v>14.33916</v>
      </c>
      <c r="O193" s="37">
        <v>12.73995</v>
      </c>
      <c r="P193" s="38">
        <v>22.578250000000001</v>
      </c>
    </row>
    <row r="194" spans="1:16" x14ac:dyDescent="0.45">
      <c r="A194" s="48">
        <v>40450</v>
      </c>
      <c r="B194" s="37">
        <v>16.483090000000001</v>
      </c>
      <c r="C194" s="37">
        <v>44.21857</v>
      </c>
      <c r="D194" s="37">
        <v>11.0053</v>
      </c>
      <c r="E194" s="37">
        <v>34.630000000000003</v>
      </c>
      <c r="F194" s="37">
        <v>24.344989999999999</v>
      </c>
      <c r="G194" s="37">
        <v>27.092569999999998</v>
      </c>
      <c r="H194" s="37">
        <v>18.671510000000001</v>
      </c>
      <c r="I194" s="37">
        <v>13.431279999999999</v>
      </c>
      <c r="J194" s="37">
        <v>51.351199999999999</v>
      </c>
      <c r="K194" s="37">
        <v>29.653099999999998</v>
      </c>
      <c r="L194" s="37">
        <v>7.5648099999999996</v>
      </c>
      <c r="M194" s="37">
        <v>7.6216499999999998</v>
      </c>
      <c r="N194" s="37">
        <v>14.491339999999999</v>
      </c>
      <c r="O194" s="37">
        <v>12.801069999999999</v>
      </c>
      <c r="P194" s="38">
        <v>22.394680000000001</v>
      </c>
    </row>
    <row r="195" spans="1:16" x14ac:dyDescent="0.45">
      <c r="A195" s="48">
        <v>40451</v>
      </c>
      <c r="B195" s="37">
        <v>16.353619999999999</v>
      </c>
      <c r="C195" s="37">
        <v>45.1098</v>
      </c>
      <c r="D195" s="37">
        <v>11.0854</v>
      </c>
      <c r="E195" s="37">
        <v>35.25</v>
      </c>
      <c r="F195" s="37">
        <v>24.307310000000001</v>
      </c>
      <c r="G195" s="37">
        <v>26.630500000000001</v>
      </c>
      <c r="H195" s="37">
        <v>18.587420000000002</v>
      </c>
      <c r="I195" s="37">
        <v>13.521409999999999</v>
      </c>
      <c r="J195" s="37">
        <v>51.082299999999996</v>
      </c>
      <c r="K195" s="37">
        <v>29.499600000000001</v>
      </c>
      <c r="L195" s="37">
        <v>7.5648099999999996</v>
      </c>
      <c r="M195" s="37">
        <v>7.5881499999999997</v>
      </c>
      <c r="N195" s="37">
        <v>14.453250000000001</v>
      </c>
      <c r="O195" s="37">
        <v>12.648339999999999</v>
      </c>
      <c r="P195" s="38">
        <v>23.789760000000001</v>
      </c>
    </row>
    <row r="196" spans="1:16" x14ac:dyDescent="0.45">
      <c r="A196" s="48">
        <v>40452</v>
      </c>
      <c r="B196" s="37">
        <v>16.353619999999999</v>
      </c>
      <c r="C196" s="37">
        <v>47.16648</v>
      </c>
      <c r="D196" s="37">
        <v>11.0854</v>
      </c>
      <c r="E196" s="37">
        <v>35.29</v>
      </c>
      <c r="F196" s="37">
        <v>24.232119999999998</v>
      </c>
      <c r="G196" s="37">
        <v>27.008559999999999</v>
      </c>
      <c r="H196" s="37">
        <v>18.461269999999999</v>
      </c>
      <c r="I196" s="37">
        <v>13.761749999999999</v>
      </c>
      <c r="J196" s="37">
        <v>50.544600000000003</v>
      </c>
      <c r="K196" s="37">
        <v>29.461200000000002</v>
      </c>
      <c r="L196" s="37">
        <v>7.5971399999999996</v>
      </c>
      <c r="M196" s="37">
        <v>7.6048999999999998</v>
      </c>
      <c r="N196" s="37">
        <v>14.453250000000001</v>
      </c>
      <c r="O196" s="37">
        <v>12.77051</v>
      </c>
      <c r="P196" s="38">
        <v>24.230309999999999</v>
      </c>
    </row>
    <row r="197" spans="1:16" x14ac:dyDescent="0.45">
      <c r="A197" s="48">
        <v>40455</v>
      </c>
      <c r="B197" s="37">
        <v>16.19163</v>
      </c>
      <c r="C197" s="37">
        <v>47.029359999999997</v>
      </c>
      <c r="D197" s="37">
        <v>11.045299999999999</v>
      </c>
      <c r="E197" s="37">
        <v>36.33</v>
      </c>
      <c r="F197" s="37">
        <v>24.307310000000001</v>
      </c>
      <c r="G197" s="37">
        <v>28.562709999999999</v>
      </c>
      <c r="H197" s="37">
        <v>18.629460000000002</v>
      </c>
      <c r="I197" s="37">
        <v>14.54302</v>
      </c>
      <c r="J197" s="37">
        <v>50.813499999999998</v>
      </c>
      <c r="K197" s="37">
        <v>29.653099999999998</v>
      </c>
      <c r="L197" s="37">
        <v>7.6941300000000004</v>
      </c>
      <c r="M197" s="37">
        <v>7.6132799999999996</v>
      </c>
      <c r="N197" s="37">
        <v>14.491339999999999</v>
      </c>
      <c r="O197" s="37">
        <v>13.045489999999999</v>
      </c>
      <c r="P197" s="38">
        <v>23.49606</v>
      </c>
    </row>
    <row r="198" spans="1:16" x14ac:dyDescent="0.45">
      <c r="A198" s="48">
        <v>40456</v>
      </c>
      <c r="B198" s="37">
        <v>16.45074</v>
      </c>
      <c r="C198" s="37">
        <v>46.755139999999997</v>
      </c>
      <c r="D198" s="37">
        <v>10.965299999999999</v>
      </c>
      <c r="E198" s="37">
        <v>35.15</v>
      </c>
      <c r="F198" s="37">
        <v>24.232119999999998</v>
      </c>
      <c r="G198" s="37">
        <v>28.184650000000001</v>
      </c>
      <c r="H198" s="37">
        <v>19.344380000000001</v>
      </c>
      <c r="I198" s="37">
        <v>14.6031</v>
      </c>
      <c r="J198" s="37">
        <v>50.679000000000002</v>
      </c>
      <c r="K198" s="37">
        <v>29.538</v>
      </c>
      <c r="L198" s="37">
        <v>7.7264600000000003</v>
      </c>
      <c r="M198" s="37">
        <v>7.5713999999999997</v>
      </c>
      <c r="N198" s="37">
        <v>14.37717</v>
      </c>
      <c r="O198" s="37">
        <v>12.89268</v>
      </c>
      <c r="P198" s="38">
        <v>24.230309999999999</v>
      </c>
    </row>
    <row r="199" spans="1:16" x14ac:dyDescent="0.45">
      <c r="A199" s="48">
        <v>40457</v>
      </c>
      <c r="B199" s="37">
        <v>16.54787</v>
      </c>
      <c r="C199" s="37">
        <v>47.30359</v>
      </c>
      <c r="D199" s="37">
        <v>11.125400000000001</v>
      </c>
      <c r="E199" s="37">
        <v>35.619999999999997</v>
      </c>
      <c r="F199" s="37">
        <v>24.382580000000001</v>
      </c>
      <c r="G199" s="37">
        <v>29.402750000000001</v>
      </c>
      <c r="H199" s="37">
        <v>19.638719999999999</v>
      </c>
      <c r="I199" s="37">
        <v>15.53458</v>
      </c>
      <c r="J199" s="37">
        <v>51.351199999999999</v>
      </c>
      <c r="K199" s="37">
        <v>29.8065</v>
      </c>
      <c r="L199" s="37">
        <v>7.7264600000000003</v>
      </c>
      <c r="M199" s="37">
        <v>7.7054</v>
      </c>
      <c r="N199" s="37">
        <v>14.529339999999999</v>
      </c>
      <c r="O199" s="37">
        <v>12.953799999999999</v>
      </c>
      <c r="P199" s="38">
        <v>24.37716</v>
      </c>
    </row>
    <row r="200" spans="1:16" x14ac:dyDescent="0.45">
      <c r="A200" s="48">
        <v>40458</v>
      </c>
      <c r="B200" s="37">
        <v>16.321190000000001</v>
      </c>
      <c r="C200" s="37">
        <v>46.618029999999997</v>
      </c>
      <c r="D200" s="37">
        <v>11.125400000000001</v>
      </c>
      <c r="E200" s="37">
        <v>35.76</v>
      </c>
      <c r="F200" s="37">
        <v>24.382580000000001</v>
      </c>
      <c r="G200" s="37">
        <v>30.200869999999998</v>
      </c>
      <c r="H200" s="37">
        <v>19.344380000000001</v>
      </c>
      <c r="I200" s="37">
        <v>14.993740000000001</v>
      </c>
      <c r="J200" s="37">
        <v>51.015099999999997</v>
      </c>
      <c r="K200" s="37">
        <v>29.959900000000001</v>
      </c>
      <c r="L200" s="37">
        <v>7.7587799999999998</v>
      </c>
      <c r="M200" s="37">
        <v>7.8310399999999998</v>
      </c>
      <c r="N200" s="37">
        <v>14.909689999999999</v>
      </c>
      <c r="O200" s="37">
        <v>12.862109999999999</v>
      </c>
      <c r="P200" s="38">
        <v>23.422640000000001</v>
      </c>
    </row>
    <row r="201" spans="1:16" x14ac:dyDescent="0.45">
      <c r="A201" s="48">
        <v>40459</v>
      </c>
      <c r="B201" s="37">
        <v>16.062159999999999</v>
      </c>
      <c r="C201" s="37">
        <v>46.618029999999997</v>
      </c>
      <c r="D201" s="37">
        <v>11.1654</v>
      </c>
      <c r="E201" s="37">
        <v>35.01</v>
      </c>
      <c r="F201" s="37">
        <v>24.156849999999999</v>
      </c>
      <c r="G201" s="37">
        <v>29.780809999999999</v>
      </c>
      <c r="H201" s="37">
        <v>18.9238</v>
      </c>
      <c r="I201" s="37">
        <v>15.02378</v>
      </c>
      <c r="J201" s="37">
        <v>50.679000000000002</v>
      </c>
      <c r="K201" s="37">
        <v>29.384499999999999</v>
      </c>
      <c r="L201" s="37">
        <v>7.6941300000000004</v>
      </c>
      <c r="M201" s="37">
        <v>7.7724099999999998</v>
      </c>
      <c r="N201" s="37">
        <v>14.909689999999999</v>
      </c>
      <c r="O201" s="37">
        <v>12.61778</v>
      </c>
      <c r="P201" s="38">
        <v>23.202359999999999</v>
      </c>
    </row>
    <row r="202" spans="1:16" x14ac:dyDescent="0.45">
      <c r="A202" s="48">
        <v>40462</v>
      </c>
      <c r="B202" s="37">
        <v>15.73828</v>
      </c>
      <c r="C202" s="37">
        <v>45.24691</v>
      </c>
      <c r="D202" s="37">
        <v>11.125400000000001</v>
      </c>
      <c r="E202" s="37">
        <v>34.68</v>
      </c>
      <c r="F202" s="37">
        <v>23.818169999999999</v>
      </c>
      <c r="G202" s="37">
        <v>29.234719999999999</v>
      </c>
      <c r="H202" s="37">
        <v>18.755610000000001</v>
      </c>
      <c r="I202" s="37">
        <v>14.45289</v>
      </c>
      <c r="J202" s="37">
        <v>50.477400000000003</v>
      </c>
      <c r="K202" s="37">
        <v>29.231000000000002</v>
      </c>
      <c r="L202" s="37">
        <v>7.6294700000000004</v>
      </c>
      <c r="M202" s="37">
        <v>7.7054</v>
      </c>
      <c r="N202" s="37">
        <v>14.98578</v>
      </c>
      <c r="O202" s="37">
        <v>12.4344</v>
      </c>
      <c r="P202" s="38">
        <v>21.880710000000001</v>
      </c>
    </row>
    <row r="203" spans="1:16" x14ac:dyDescent="0.45">
      <c r="A203" s="48">
        <v>40463</v>
      </c>
      <c r="B203" s="37">
        <v>15.5116</v>
      </c>
      <c r="C203" s="37">
        <v>45.24691</v>
      </c>
      <c r="D203" s="37">
        <v>10.885300000000001</v>
      </c>
      <c r="E203" s="37">
        <v>34.159999999999997</v>
      </c>
      <c r="F203" s="37">
        <v>23.554839999999999</v>
      </c>
      <c r="G203" s="37">
        <v>29.234719999999999</v>
      </c>
      <c r="H203" s="37">
        <v>18.83971</v>
      </c>
      <c r="I203" s="37">
        <v>14.54302</v>
      </c>
      <c r="J203" s="37">
        <v>50.275799999999997</v>
      </c>
      <c r="K203" s="37">
        <v>28.924199999999999</v>
      </c>
      <c r="L203" s="37">
        <v>7.6618000000000004</v>
      </c>
      <c r="M203" s="37">
        <v>7.6216499999999998</v>
      </c>
      <c r="N203" s="37">
        <v>14.7956</v>
      </c>
      <c r="O203" s="37">
        <v>12.37336</v>
      </c>
      <c r="P203" s="38">
        <v>21.770569999999999</v>
      </c>
    </row>
    <row r="204" spans="1:16" x14ac:dyDescent="0.45">
      <c r="A204" s="48">
        <v>40464</v>
      </c>
      <c r="B204" s="37">
        <v>16.029730000000001</v>
      </c>
      <c r="C204" s="37">
        <v>44.972679999999997</v>
      </c>
      <c r="D204" s="37">
        <v>10.805199999999999</v>
      </c>
      <c r="E204" s="37">
        <v>33.97</v>
      </c>
      <c r="F204" s="37">
        <v>23.630030000000001</v>
      </c>
      <c r="G204" s="37">
        <v>29.82281</v>
      </c>
      <c r="H204" s="37">
        <v>18.79766</v>
      </c>
      <c r="I204" s="37">
        <v>14.42285</v>
      </c>
      <c r="J204" s="37">
        <v>50.477400000000003</v>
      </c>
      <c r="K204" s="37">
        <v>28.962499999999999</v>
      </c>
      <c r="L204" s="37">
        <v>7.6941300000000004</v>
      </c>
      <c r="M204" s="37">
        <v>7.6635299999999997</v>
      </c>
      <c r="N204" s="37">
        <v>14.7956</v>
      </c>
      <c r="O204" s="37">
        <v>12.556660000000001</v>
      </c>
      <c r="P204" s="38">
        <v>22.10098</v>
      </c>
    </row>
    <row r="205" spans="1:16" x14ac:dyDescent="0.45">
      <c r="A205" s="48">
        <v>40465</v>
      </c>
      <c r="B205" s="37">
        <v>15.96496</v>
      </c>
      <c r="C205" s="37">
        <v>44.767020000000002</v>
      </c>
      <c r="D205" s="37">
        <v>10.965299999999999</v>
      </c>
      <c r="E205" s="37">
        <v>34.82</v>
      </c>
      <c r="F205" s="37">
        <v>23.630030000000001</v>
      </c>
      <c r="G205" s="37">
        <v>31.334959999999999</v>
      </c>
      <c r="H205" s="37">
        <v>18.9238</v>
      </c>
      <c r="I205" s="37">
        <v>14.122339999999999</v>
      </c>
      <c r="J205" s="37">
        <v>51.082299999999996</v>
      </c>
      <c r="K205" s="37">
        <v>29.116</v>
      </c>
      <c r="L205" s="37">
        <v>7.6618000000000004</v>
      </c>
      <c r="M205" s="37">
        <v>7.7472899999999996</v>
      </c>
      <c r="N205" s="37">
        <v>14.909689999999999</v>
      </c>
      <c r="O205" s="37">
        <v>12.709379999999999</v>
      </c>
      <c r="P205" s="38">
        <v>23.275790000000001</v>
      </c>
    </row>
    <row r="206" spans="1:16" x14ac:dyDescent="0.45">
      <c r="A206" s="48">
        <v>40466</v>
      </c>
      <c r="B206" s="37">
        <v>15.70593</v>
      </c>
      <c r="C206" s="37">
        <v>44.012900000000002</v>
      </c>
      <c r="D206" s="37">
        <v>10.9253</v>
      </c>
      <c r="E206" s="37">
        <v>35.479999999999997</v>
      </c>
      <c r="F206" s="37">
        <v>23.59244</v>
      </c>
      <c r="G206" s="37">
        <v>30.746860000000002</v>
      </c>
      <c r="H206" s="37">
        <v>19.007899999999999</v>
      </c>
      <c r="I206" s="37">
        <v>13.912039999999999</v>
      </c>
      <c r="J206" s="37">
        <v>51.418399999999998</v>
      </c>
      <c r="K206" s="37">
        <v>29.192699999999999</v>
      </c>
      <c r="L206" s="37">
        <v>7.6941300000000004</v>
      </c>
      <c r="M206" s="37">
        <v>7.7389099999999997</v>
      </c>
      <c r="N206" s="37">
        <v>14.909689999999999</v>
      </c>
      <c r="O206" s="37">
        <v>12.77051</v>
      </c>
      <c r="P206" s="38">
        <v>22.761810000000001</v>
      </c>
    </row>
    <row r="207" spans="1:16" x14ac:dyDescent="0.45">
      <c r="A207" s="48">
        <v>40469</v>
      </c>
      <c r="B207" s="37">
        <v>15.60872</v>
      </c>
      <c r="C207" s="37">
        <v>43.464460000000003</v>
      </c>
      <c r="D207" s="37">
        <v>10.6852</v>
      </c>
      <c r="E207" s="37">
        <v>34.54</v>
      </c>
      <c r="F207" s="37">
        <v>23.366620000000001</v>
      </c>
      <c r="G207" s="37">
        <v>30.620850000000001</v>
      </c>
      <c r="H207" s="37">
        <v>18.755610000000001</v>
      </c>
      <c r="I207" s="37">
        <v>13.070690000000001</v>
      </c>
      <c r="J207" s="37">
        <v>50.074100000000001</v>
      </c>
      <c r="K207" s="37">
        <v>28.8475</v>
      </c>
      <c r="L207" s="37">
        <v>7.4355000000000002</v>
      </c>
      <c r="M207" s="37">
        <v>7.5881499999999997</v>
      </c>
      <c r="N207" s="37">
        <v>14.37717</v>
      </c>
      <c r="O207" s="37">
        <v>12.464969999999999</v>
      </c>
      <c r="P207" s="38">
        <v>22.211120000000001</v>
      </c>
    </row>
    <row r="208" spans="1:16" x14ac:dyDescent="0.45">
      <c r="A208" s="48">
        <v>40470</v>
      </c>
      <c r="B208" s="37">
        <v>15.73828</v>
      </c>
      <c r="C208" s="37">
        <v>43.395899999999997</v>
      </c>
      <c r="D208" s="37">
        <v>10.6852</v>
      </c>
      <c r="E208" s="37">
        <v>33.97</v>
      </c>
      <c r="F208" s="37">
        <v>23.291440000000001</v>
      </c>
      <c r="G208" s="37">
        <v>30.536829999999998</v>
      </c>
      <c r="H208" s="37">
        <v>18.755610000000001</v>
      </c>
      <c r="I208" s="37">
        <v>13.431279999999999</v>
      </c>
      <c r="J208" s="37">
        <v>50.477400000000003</v>
      </c>
      <c r="K208" s="37">
        <v>28.6173</v>
      </c>
      <c r="L208" s="37">
        <v>7.4678300000000002</v>
      </c>
      <c r="M208" s="37">
        <v>7.5546499999999996</v>
      </c>
      <c r="N208" s="37">
        <v>14.26308</v>
      </c>
      <c r="O208" s="37">
        <v>12.3428</v>
      </c>
      <c r="P208" s="38">
        <v>22.027560000000001</v>
      </c>
    </row>
    <row r="209" spans="1:16" x14ac:dyDescent="0.45">
      <c r="A209" s="48">
        <v>40471</v>
      </c>
      <c r="B209" s="37">
        <v>15.83548</v>
      </c>
      <c r="C209" s="37">
        <v>44.21857</v>
      </c>
      <c r="D209" s="37">
        <v>10.8452</v>
      </c>
      <c r="E209" s="37">
        <v>34.020000000000003</v>
      </c>
      <c r="F209" s="37">
        <v>23.329029999999999</v>
      </c>
      <c r="G209" s="37">
        <v>31.25095</v>
      </c>
      <c r="H209" s="37">
        <v>19.091989999999999</v>
      </c>
      <c r="I209" s="37">
        <v>13.34107</v>
      </c>
      <c r="J209" s="37">
        <v>50.141300000000001</v>
      </c>
      <c r="K209" s="37">
        <v>28.6173</v>
      </c>
      <c r="L209" s="37">
        <v>7.4355000000000002</v>
      </c>
      <c r="M209" s="37">
        <v>7.5127699999999997</v>
      </c>
      <c r="N209" s="37">
        <v>14.33916</v>
      </c>
      <c r="O209" s="37">
        <v>12.28167</v>
      </c>
      <c r="P209" s="38">
        <v>22.98208</v>
      </c>
    </row>
    <row r="210" spans="1:16" x14ac:dyDescent="0.45">
      <c r="A210" s="48">
        <v>40472</v>
      </c>
      <c r="B210" s="37">
        <v>15.93261</v>
      </c>
      <c r="C210" s="37">
        <v>44.424239999999998</v>
      </c>
      <c r="D210" s="37">
        <v>10.645099999999999</v>
      </c>
      <c r="E210" s="37">
        <v>33.880000000000003</v>
      </c>
      <c r="F210" s="37">
        <v>23.25376</v>
      </c>
      <c r="G210" s="37">
        <v>31.671009999999999</v>
      </c>
      <c r="H210" s="37">
        <v>19.59667</v>
      </c>
      <c r="I210" s="37">
        <v>13.70166</v>
      </c>
      <c r="J210" s="37">
        <v>49.939700000000002</v>
      </c>
      <c r="K210" s="37">
        <v>28.4255</v>
      </c>
      <c r="L210" s="37">
        <v>7.4678300000000002</v>
      </c>
      <c r="M210" s="37">
        <v>7.4709000000000003</v>
      </c>
      <c r="N210" s="37">
        <v>14.56743</v>
      </c>
      <c r="O210" s="37">
        <v>12.220549999999999</v>
      </c>
      <c r="P210" s="38">
        <v>22.761810000000001</v>
      </c>
    </row>
    <row r="211" spans="1:16" x14ac:dyDescent="0.45">
      <c r="A211" s="48">
        <v>40473</v>
      </c>
      <c r="B211" s="37">
        <v>15.997389999999999</v>
      </c>
      <c r="C211" s="37">
        <v>44.287120000000002</v>
      </c>
      <c r="D211" s="37">
        <v>10.725199999999999</v>
      </c>
      <c r="E211" s="37">
        <v>33.74</v>
      </c>
      <c r="F211" s="37">
        <v>23.25376</v>
      </c>
      <c r="G211" s="37">
        <v>31.124929999999999</v>
      </c>
      <c r="H211" s="37">
        <v>19.680769999999999</v>
      </c>
      <c r="I211" s="37">
        <v>13.551450000000001</v>
      </c>
      <c r="J211" s="37">
        <v>49.872500000000002</v>
      </c>
      <c r="K211" s="37">
        <v>28.463799999999999</v>
      </c>
      <c r="L211" s="37">
        <v>7.4678300000000002</v>
      </c>
      <c r="M211" s="37">
        <v>7.4960199999999997</v>
      </c>
      <c r="N211" s="37">
        <v>14.491339999999999</v>
      </c>
      <c r="O211" s="37">
        <v>12.28167</v>
      </c>
      <c r="P211" s="38">
        <v>22.761810000000001</v>
      </c>
    </row>
    <row r="212" spans="1:16" x14ac:dyDescent="0.45">
      <c r="A212" s="48">
        <v>40476</v>
      </c>
      <c r="B212" s="37">
        <v>16.774539999999998</v>
      </c>
      <c r="C212" s="37">
        <v>44.561349999999997</v>
      </c>
      <c r="D212" s="37">
        <v>11.0854</v>
      </c>
      <c r="E212" s="37">
        <v>33.6</v>
      </c>
      <c r="F212" s="37">
        <v>23.404299999999999</v>
      </c>
      <c r="G212" s="37">
        <v>31.37697</v>
      </c>
      <c r="H212" s="37">
        <v>20.85821</v>
      </c>
      <c r="I212" s="37">
        <v>13.912039999999999</v>
      </c>
      <c r="J212" s="37">
        <v>50.477400000000003</v>
      </c>
      <c r="K212" s="37">
        <v>29.116</v>
      </c>
      <c r="L212" s="37">
        <v>7.5324799999999996</v>
      </c>
      <c r="M212" s="37">
        <v>7.5881499999999997</v>
      </c>
      <c r="N212" s="37">
        <v>14.529339999999999</v>
      </c>
      <c r="O212" s="37">
        <v>12.49553</v>
      </c>
      <c r="P212" s="38">
        <v>22.504819999999999</v>
      </c>
    </row>
    <row r="213" spans="1:16" x14ac:dyDescent="0.45">
      <c r="A213" s="48">
        <v>40477</v>
      </c>
      <c r="B213" s="37">
        <v>16.839320000000001</v>
      </c>
      <c r="C213" s="37">
        <v>44.492789999999999</v>
      </c>
      <c r="D213" s="37">
        <v>11.0854</v>
      </c>
      <c r="E213" s="37">
        <v>33.409999999999997</v>
      </c>
      <c r="F213" s="37">
        <v>23.51717</v>
      </c>
      <c r="G213" s="37">
        <v>32.007069999999999</v>
      </c>
      <c r="H213" s="37">
        <v>20.81616</v>
      </c>
      <c r="I213" s="37">
        <v>13.70166</v>
      </c>
      <c r="J213" s="37">
        <v>50.343000000000004</v>
      </c>
      <c r="K213" s="37">
        <v>29.154299999999999</v>
      </c>
      <c r="L213" s="37">
        <v>7.4678300000000002</v>
      </c>
      <c r="M213" s="37">
        <v>7.6467799999999997</v>
      </c>
      <c r="N213" s="37">
        <v>14.56743</v>
      </c>
      <c r="O213" s="37">
        <v>12.556660000000001</v>
      </c>
      <c r="P213" s="38">
        <v>22.504819999999999</v>
      </c>
    </row>
    <row r="214" spans="1:16" x14ac:dyDescent="0.45">
      <c r="A214" s="48">
        <v>40478</v>
      </c>
      <c r="B214" s="37">
        <v>16.839320000000001</v>
      </c>
      <c r="C214" s="37">
        <v>45.178350000000002</v>
      </c>
      <c r="D214" s="37">
        <v>11.045299999999999</v>
      </c>
      <c r="E214" s="37">
        <v>32.799999999999997</v>
      </c>
      <c r="F214" s="37">
        <v>23.291440000000001</v>
      </c>
      <c r="G214" s="37">
        <v>31.292950000000001</v>
      </c>
      <c r="H214" s="37">
        <v>21.40493</v>
      </c>
      <c r="I214" s="37">
        <v>13.521409999999999</v>
      </c>
      <c r="J214" s="37">
        <v>50.275799999999997</v>
      </c>
      <c r="K214" s="37">
        <v>28.924199999999999</v>
      </c>
      <c r="L214" s="37">
        <v>7.4355000000000002</v>
      </c>
      <c r="M214" s="37">
        <v>7.6467799999999997</v>
      </c>
      <c r="N214" s="37">
        <v>14.491339999999999</v>
      </c>
      <c r="O214" s="37">
        <v>12.312239999999999</v>
      </c>
      <c r="P214" s="38">
        <v>22.10098</v>
      </c>
    </row>
    <row r="215" spans="1:16" x14ac:dyDescent="0.45">
      <c r="A215" s="48">
        <v>40479</v>
      </c>
      <c r="B215" s="37">
        <v>17.422229999999999</v>
      </c>
      <c r="C215" s="37">
        <v>44.561349999999997</v>
      </c>
      <c r="D215" s="37">
        <v>11.5656</v>
      </c>
      <c r="E215" s="37">
        <v>33.03</v>
      </c>
      <c r="F215" s="37">
        <v>23.404299999999999</v>
      </c>
      <c r="G215" s="37">
        <v>31.460979999999999</v>
      </c>
      <c r="H215" s="37">
        <v>21.825420000000001</v>
      </c>
      <c r="I215" s="37">
        <v>13.82183</v>
      </c>
      <c r="J215" s="37">
        <v>50.679000000000002</v>
      </c>
      <c r="K215" s="37">
        <v>29.0776</v>
      </c>
      <c r="L215" s="37">
        <v>7.5001600000000002</v>
      </c>
      <c r="M215" s="37">
        <v>7.6383999999999999</v>
      </c>
      <c r="N215" s="37">
        <v>14.60543</v>
      </c>
      <c r="O215" s="37">
        <v>12.464969999999999</v>
      </c>
      <c r="P215" s="38">
        <v>23.642910000000001</v>
      </c>
    </row>
    <row r="216" spans="1:16" x14ac:dyDescent="0.45">
      <c r="A216" s="48">
        <v>40480</v>
      </c>
      <c r="B216" s="37">
        <v>17.09843</v>
      </c>
      <c r="C216" s="37">
        <v>44.629899999999999</v>
      </c>
      <c r="D216" s="37">
        <v>11.6456</v>
      </c>
      <c r="E216" s="37">
        <v>32.85</v>
      </c>
      <c r="F216" s="37">
        <v>23.366620000000001</v>
      </c>
      <c r="G216" s="37">
        <v>31.082920000000001</v>
      </c>
      <c r="H216" s="37">
        <v>21.44698</v>
      </c>
      <c r="I216" s="37">
        <v>13.521409999999999</v>
      </c>
      <c r="J216" s="37">
        <v>51.082299999999996</v>
      </c>
      <c r="K216" s="37">
        <v>28.770800000000001</v>
      </c>
      <c r="L216" s="37">
        <v>7.4678300000000002</v>
      </c>
      <c r="M216" s="37">
        <v>7.6132799999999996</v>
      </c>
      <c r="N216" s="37">
        <v>14.64343</v>
      </c>
      <c r="O216" s="37">
        <v>12.3428</v>
      </c>
      <c r="P216" s="38">
        <v>22.98208</v>
      </c>
    </row>
    <row r="217" spans="1:16" x14ac:dyDescent="0.45">
      <c r="A217" s="48">
        <v>40483</v>
      </c>
      <c r="B217" s="37">
        <v>17.71369</v>
      </c>
      <c r="C217" s="37">
        <v>45.178350000000002</v>
      </c>
      <c r="D217" s="37">
        <v>11.525600000000001</v>
      </c>
      <c r="E217" s="37">
        <v>32.799999999999997</v>
      </c>
      <c r="F217" s="37">
        <v>23.554839999999999</v>
      </c>
      <c r="G217" s="37">
        <v>31.797029999999999</v>
      </c>
      <c r="H217" s="37">
        <v>22.03575</v>
      </c>
      <c r="I217" s="37">
        <v>13.581490000000001</v>
      </c>
      <c r="J217" s="37">
        <v>51.418399999999998</v>
      </c>
      <c r="K217" s="37">
        <v>29.192699999999999</v>
      </c>
      <c r="L217" s="37">
        <v>7.5971399999999996</v>
      </c>
      <c r="M217" s="37">
        <v>7.6886599999999996</v>
      </c>
      <c r="N217" s="37">
        <v>14.833600000000001</v>
      </c>
      <c r="O217" s="37">
        <v>12.58722</v>
      </c>
      <c r="P217" s="38">
        <v>22.4314</v>
      </c>
    </row>
    <row r="218" spans="1:16" x14ac:dyDescent="0.45">
      <c r="A218" s="48">
        <v>40484</v>
      </c>
      <c r="B218" s="37">
        <v>17.843240000000002</v>
      </c>
      <c r="C218" s="37">
        <v>47.989139999999999</v>
      </c>
      <c r="D218" s="37">
        <v>11.5656</v>
      </c>
      <c r="E218" s="37">
        <v>32.85</v>
      </c>
      <c r="F218" s="37">
        <v>23.554839999999999</v>
      </c>
      <c r="G218" s="37">
        <v>31.671009999999999</v>
      </c>
      <c r="H218" s="37">
        <v>21.699269999999999</v>
      </c>
      <c r="I218" s="37">
        <v>14.42285</v>
      </c>
      <c r="J218" s="37">
        <v>52.157800000000002</v>
      </c>
      <c r="K218" s="37">
        <v>29.422799999999999</v>
      </c>
      <c r="L218" s="37">
        <v>7.5648099999999996</v>
      </c>
      <c r="M218" s="37">
        <v>7.6886599999999996</v>
      </c>
      <c r="N218" s="37">
        <v>14.681520000000001</v>
      </c>
      <c r="O218" s="37">
        <v>12.556660000000001</v>
      </c>
      <c r="P218" s="38">
        <v>22.24783</v>
      </c>
    </row>
    <row r="219" spans="1:16" x14ac:dyDescent="0.45">
      <c r="A219" s="48">
        <v>40485</v>
      </c>
      <c r="B219" s="37">
        <v>17.648910000000001</v>
      </c>
      <c r="C219" s="37">
        <v>49.291710000000002</v>
      </c>
      <c r="D219" s="37">
        <v>11.525600000000001</v>
      </c>
      <c r="E219" s="37">
        <v>32.47</v>
      </c>
      <c r="F219" s="37">
        <v>23.742979999999999</v>
      </c>
      <c r="G219" s="37">
        <v>31.37697</v>
      </c>
      <c r="H219" s="37">
        <v>21.699269999999999</v>
      </c>
      <c r="I219" s="37">
        <v>14.6031</v>
      </c>
      <c r="J219" s="37">
        <v>50.746200000000002</v>
      </c>
      <c r="K219" s="37">
        <v>29.269400000000001</v>
      </c>
      <c r="L219" s="37">
        <v>7.5001600000000002</v>
      </c>
      <c r="M219" s="37">
        <v>7.6216499999999998</v>
      </c>
      <c r="N219" s="37">
        <v>14.60543</v>
      </c>
      <c r="O219" s="37">
        <v>12.556660000000001</v>
      </c>
      <c r="P219" s="38">
        <v>21.073029999999999</v>
      </c>
    </row>
    <row r="220" spans="1:16" x14ac:dyDescent="0.45">
      <c r="A220" s="48">
        <v>40486</v>
      </c>
      <c r="B220" s="37">
        <v>17.875589999999999</v>
      </c>
      <c r="C220" s="37">
        <v>52.719499999999996</v>
      </c>
      <c r="D220" s="37">
        <v>11.8858</v>
      </c>
      <c r="E220" s="37">
        <v>33.17</v>
      </c>
      <c r="F220" s="37">
        <v>23.742979999999999</v>
      </c>
      <c r="G220" s="37">
        <v>31.755030000000001</v>
      </c>
      <c r="H220" s="37">
        <v>21.783370000000001</v>
      </c>
      <c r="I220" s="37">
        <v>15.50454</v>
      </c>
      <c r="J220" s="37">
        <v>52.023299999999999</v>
      </c>
      <c r="K220" s="37">
        <v>29.192699999999999</v>
      </c>
      <c r="L220" s="37">
        <v>7.6294700000000004</v>
      </c>
      <c r="M220" s="37">
        <v>7.6635299999999997</v>
      </c>
      <c r="N220" s="37">
        <v>14.681520000000001</v>
      </c>
      <c r="O220" s="37">
        <v>12.61778</v>
      </c>
      <c r="P220" s="38">
        <v>21.293310000000002</v>
      </c>
    </row>
    <row r="221" spans="1:16" x14ac:dyDescent="0.45">
      <c r="A221" s="48">
        <v>40487</v>
      </c>
      <c r="B221" s="37">
        <v>18.06992</v>
      </c>
      <c r="C221" s="37">
        <v>56.352969999999999</v>
      </c>
      <c r="D221" s="37">
        <v>12.326000000000001</v>
      </c>
      <c r="E221" s="37">
        <v>34.119999999999997</v>
      </c>
      <c r="F221" s="37">
        <v>23.931039999999999</v>
      </c>
      <c r="G221" s="37">
        <v>32.090980000000002</v>
      </c>
      <c r="H221" s="37">
        <v>21.110600000000002</v>
      </c>
      <c r="I221" s="37">
        <v>15.62471</v>
      </c>
      <c r="J221" s="37">
        <v>54.913499999999999</v>
      </c>
      <c r="K221" s="37">
        <v>29.7681</v>
      </c>
      <c r="L221" s="37">
        <v>7.6294700000000004</v>
      </c>
      <c r="M221" s="37">
        <v>7.7054</v>
      </c>
      <c r="N221" s="37">
        <v>15.32813</v>
      </c>
      <c r="O221" s="37">
        <v>12.709379999999999</v>
      </c>
      <c r="P221" s="38">
        <v>21.18317</v>
      </c>
    </row>
    <row r="222" spans="1:16" x14ac:dyDescent="0.45">
      <c r="A222" s="48">
        <v>40490</v>
      </c>
      <c r="B222" s="37">
        <v>17.519359999999999</v>
      </c>
      <c r="C222" s="37">
        <v>59.095199999999998</v>
      </c>
      <c r="D222" s="37">
        <v>12.1259</v>
      </c>
      <c r="E222" s="37">
        <v>34.07</v>
      </c>
      <c r="F222" s="37">
        <v>23.893439999999998</v>
      </c>
      <c r="G222" s="37">
        <v>32.007069999999999</v>
      </c>
      <c r="H222" s="37">
        <v>21.194690000000001</v>
      </c>
      <c r="I222" s="37">
        <v>15.74488</v>
      </c>
      <c r="J222" s="37">
        <v>55.652799999999999</v>
      </c>
      <c r="K222" s="37">
        <v>29.5764</v>
      </c>
      <c r="L222" s="37">
        <v>7.6941300000000004</v>
      </c>
      <c r="M222" s="37">
        <v>7.6970299999999998</v>
      </c>
      <c r="N222" s="37">
        <v>15.74648</v>
      </c>
      <c r="O222" s="37">
        <v>12.648339999999999</v>
      </c>
      <c r="P222" s="38">
        <v>21.18317</v>
      </c>
    </row>
    <row r="223" spans="1:16" x14ac:dyDescent="0.45">
      <c r="A223" s="48">
        <v>40491</v>
      </c>
      <c r="B223" s="37">
        <v>17.90802</v>
      </c>
      <c r="C223" s="37">
        <v>60.260660000000001</v>
      </c>
      <c r="D223" s="37">
        <v>12.165900000000001</v>
      </c>
      <c r="E223" s="37">
        <v>33.69</v>
      </c>
      <c r="F223" s="37">
        <v>24.156849999999999</v>
      </c>
      <c r="G223" s="37">
        <v>32.090980000000002</v>
      </c>
      <c r="H223" s="37">
        <v>21.194690000000001</v>
      </c>
      <c r="I223" s="37">
        <v>15.354329999999999</v>
      </c>
      <c r="J223" s="37">
        <v>54.510199999999998</v>
      </c>
      <c r="K223" s="37">
        <v>29.653099999999998</v>
      </c>
      <c r="L223" s="37">
        <v>7.6294700000000004</v>
      </c>
      <c r="M223" s="37">
        <v>7.6635299999999997</v>
      </c>
      <c r="N223" s="37">
        <v>15.670389999999999</v>
      </c>
      <c r="O223" s="37">
        <v>12.556660000000001</v>
      </c>
      <c r="P223" s="38">
        <v>21.440159999999999</v>
      </c>
    </row>
    <row r="224" spans="1:16" x14ac:dyDescent="0.45">
      <c r="A224" s="48">
        <v>40492</v>
      </c>
      <c r="B224" s="37">
        <v>18.102270000000001</v>
      </c>
      <c r="C224" s="37">
        <v>59.300870000000003</v>
      </c>
      <c r="D224" s="37">
        <v>12.165900000000001</v>
      </c>
      <c r="E224" s="37">
        <v>33.65</v>
      </c>
      <c r="F224" s="37">
        <v>24.344989999999999</v>
      </c>
      <c r="G224" s="37">
        <v>31.92296</v>
      </c>
      <c r="H224" s="37">
        <v>20.311579999999999</v>
      </c>
      <c r="I224" s="37">
        <v>14.993740000000001</v>
      </c>
      <c r="J224" s="37">
        <v>54.039700000000003</v>
      </c>
      <c r="K224" s="37">
        <v>29.384499999999999</v>
      </c>
      <c r="L224" s="37">
        <v>7.6294700000000004</v>
      </c>
      <c r="M224" s="37">
        <v>7.6802799999999998</v>
      </c>
      <c r="N224" s="37">
        <v>15.55631</v>
      </c>
      <c r="O224" s="37">
        <v>12.556660000000001</v>
      </c>
      <c r="P224" s="38">
        <v>21.513580000000001</v>
      </c>
    </row>
    <row r="225" spans="1:16" x14ac:dyDescent="0.45">
      <c r="A225" s="48">
        <v>40493</v>
      </c>
      <c r="B225" s="37">
        <v>18.037489999999998</v>
      </c>
      <c r="C225" s="37">
        <v>59.917879999999997</v>
      </c>
      <c r="D225" s="37">
        <v>12.0458</v>
      </c>
      <c r="E225" s="37">
        <v>33.32</v>
      </c>
      <c r="F225" s="37">
        <v>24.156849999999999</v>
      </c>
      <c r="G225" s="37">
        <v>31.71302</v>
      </c>
      <c r="H225" s="37">
        <v>20.353629999999999</v>
      </c>
      <c r="I225" s="37">
        <v>15.234080000000001</v>
      </c>
      <c r="J225" s="37">
        <v>54.375799999999998</v>
      </c>
      <c r="K225" s="37">
        <v>29.614699999999999</v>
      </c>
      <c r="L225" s="37">
        <v>7.5971399999999996</v>
      </c>
      <c r="M225" s="37">
        <v>7.7054</v>
      </c>
      <c r="N225" s="37">
        <v>15.74648</v>
      </c>
      <c r="O225" s="37">
        <v>12.464969999999999</v>
      </c>
      <c r="P225" s="38">
        <v>21.770569999999999</v>
      </c>
    </row>
    <row r="226" spans="1:16" x14ac:dyDescent="0.45">
      <c r="A226" s="48">
        <v>40494</v>
      </c>
      <c r="B226" s="37">
        <v>17.681260000000002</v>
      </c>
      <c r="C226" s="37">
        <v>58.546759999999999</v>
      </c>
      <c r="D226" s="37">
        <v>11.685700000000001</v>
      </c>
      <c r="E226" s="37">
        <v>32.89</v>
      </c>
      <c r="F226" s="37">
        <v>23.968710000000002</v>
      </c>
      <c r="G226" s="37">
        <v>30.746860000000002</v>
      </c>
      <c r="H226" s="37">
        <v>19.975100000000001</v>
      </c>
      <c r="I226" s="37">
        <v>15.204029999999999</v>
      </c>
      <c r="J226" s="37">
        <v>52.964300000000001</v>
      </c>
      <c r="K226" s="37">
        <v>28.8858</v>
      </c>
      <c r="L226" s="37">
        <v>7.4678300000000002</v>
      </c>
      <c r="M226" s="37">
        <v>7.5546499999999996</v>
      </c>
      <c r="N226" s="37">
        <v>15.061870000000001</v>
      </c>
      <c r="O226" s="37">
        <v>12.220549999999999</v>
      </c>
      <c r="P226" s="38">
        <v>21.40344</v>
      </c>
    </row>
    <row r="227" spans="1:16" x14ac:dyDescent="0.45">
      <c r="A227" s="48">
        <v>40497</v>
      </c>
      <c r="B227" s="37">
        <v>17.778469999999999</v>
      </c>
      <c r="C227" s="37">
        <v>54.501959999999997</v>
      </c>
      <c r="D227" s="37">
        <v>11.8858</v>
      </c>
      <c r="E227" s="37">
        <v>32.19</v>
      </c>
      <c r="F227" s="37">
        <v>23.78058</v>
      </c>
      <c r="G227" s="37">
        <v>30.326899999999998</v>
      </c>
      <c r="H227" s="37">
        <v>19.975100000000001</v>
      </c>
      <c r="I227" s="37">
        <v>14.512969999999999</v>
      </c>
      <c r="J227" s="37">
        <v>51.62</v>
      </c>
      <c r="K227" s="37">
        <v>28.693999999999999</v>
      </c>
      <c r="L227" s="37">
        <v>7.2738500000000004</v>
      </c>
      <c r="M227" s="37">
        <v>7.4792699999999996</v>
      </c>
      <c r="N227" s="37">
        <v>14.871689999999999</v>
      </c>
      <c r="O227" s="37">
        <v>11.976129999999999</v>
      </c>
      <c r="P227" s="38">
        <v>21.36673</v>
      </c>
    </row>
    <row r="228" spans="1:16" x14ac:dyDescent="0.45">
      <c r="A228" s="48">
        <v>40498</v>
      </c>
      <c r="B228" s="37">
        <v>17.940370000000001</v>
      </c>
      <c r="C228" s="37">
        <v>56.147300000000001</v>
      </c>
      <c r="D228" s="37">
        <v>11.9658</v>
      </c>
      <c r="E228" s="37">
        <v>32.369999999999997</v>
      </c>
      <c r="F228" s="37">
        <v>23.931039999999999</v>
      </c>
      <c r="G228" s="37">
        <v>30.3689</v>
      </c>
      <c r="H228" s="37">
        <v>19.55462</v>
      </c>
      <c r="I228" s="37">
        <v>14.81348</v>
      </c>
      <c r="J228" s="37">
        <v>52.426600000000001</v>
      </c>
      <c r="K228" s="37">
        <v>28.770800000000001</v>
      </c>
      <c r="L228" s="37">
        <v>7.24153</v>
      </c>
      <c r="M228" s="37">
        <v>7.5378999999999996</v>
      </c>
      <c r="N228" s="37">
        <v>14.833600000000001</v>
      </c>
      <c r="O228" s="37">
        <v>11.915089999999999</v>
      </c>
      <c r="P228" s="38">
        <v>21.36673</v>
      </c>
    </row>
    <row r="229" spans="1:16" x14ac:dyDescent="0.45">
      <c r="A229" s="48">
        <v>40499</v>
      </c>
      <c r="B229" s="37">
        <v>17.940370000000001</v>
      </c>
      <c r="C229" s="37">
        <v>55.873080000000002</v>
      </c>
      <c r="D229" s="37">
        <v>11.925800000000001</v>
      </c>
      <c r="E229" s="37">
        <v>32.42</v>
      </c>
      <c r="F229" s="37">
        <v>23.85585</v>
      </c>
      <c r="G229" s="37">
        <v>30.326899999999998</v>
      </c>
      <c r="H229" s="37">
        <v>19.386430000000001</v>
      </c>
      <c r="I229" s="37">
        <v>14.633150000000001</v>
      </c>
      <c r="J229" s="37">
        <v>52.292099999999998</v>
      </c>
      <c r="K229" s="37">
        <v>28.4255</v>
      </c>
      <c r="L229" s="37">
        <v>7.24153</v>
      </c>
      <c r="M229" s="37">
        <v>7.4373899999999997</v>
      </c>
      <c r="N229" s="37">
        <v>14.491339999999999</v>
      </c>
      <c r="O229" s="37">
        <v>11.823399999999999</v>
      </c>
      <c r="P229" s="38">
        <v>21.256589999999999</v>
      </c>
    </row>
    <row r="230" spans="1:16" x14ac:dyDescent="0.45">
      <c r="A230" s="48">
        <v>40500</v>
      </c>
      <c r="B230" s="37">
        <v>18.102270000000001</v>
      </c>
      <c r="C230" s="37">
        <v>57.244190000000003</v>
      </c>
      <c r="D230" s="37">
        <v>11.765700000000001</v>
      </c>
      <c r="E230" s="37">
        <v>32.369999999999997</v>
      </c>
      <c r="F230" s="37">
        <v>23.85585</v>
      </c>
      <c r="G230" s="37">
        <v>30.536829999999998</v>
      </c>
      <c r="H230" s="37">
        <v>20.73207</v>
      </c>
      <c r="I230" s="37">
        <v>14.723269999999999</v>
      </c>
      <c r="J230" s="37">
        <v>52.829799999999999</v>
      </c>
      <c r="K230" s="37">
        <v>28.809100000000001</v>
      </c>
      <c r="L230" s="37">
        <v>7.24153</v>
      </c>
      <c r="M230" s="37">
        <v>7.5044000000000004</v>
      </c>
      <c r="N230" s="37">
        <v>14.37717</v>
      </c>
      <c r="O230" s="37">
        <v>12.159509999999999</v>
      </c>
      <c r="P230" s="38">
        <v>21.330020000000001</v>
      </c>
    </row>
    <row r="231" spans="1:16" x14ac:dyDescent="0.45">
      <c r="A231" s="48">
        <v>40501</v>
      </c>
      <c r="B231" s="37">
        <v>17.90802</v>
      </c>
      <c r="C231" s="37">
        <v>59.095199999999998</v>
      </c>
      <c r="D231" s="37">
        <v>11.765700000000001</v>
      </c>
      <c r="E231" s="37">
        <v>32.090000000000003</v>
      </c>
      <c r="F231" s="37">
        <v>23.931039999999999</v>
      </c>
      <c r="G231" s="37">
        <v>30.57884</v>
      </c>
      <c r="H231" s="37">
        <v>20.900259999999999</v>
      </c>
      <c r="I231" s="37">
        <v>14.81348</v>
      </c>
      <c r="J231" s="37">
        <v>52.896999999999998</v>
      </c>
      <c r="K231" s="37">
        <v>28.6173</v>
      </c>
      <c r="L231" s="37">
        <v>7.2092000000000001</v>
      </c>
      <c r="M231" s="37">
        <v>7.4457700000000004</v>
      </c>
      <c r="N231" s="37">
        <v>14.37717</v>
      </c>
      <c r="O231" s="37">
        <v>12.159509999999999</v>
      </c>
      <c r="P231" s="38">
        <v>21.73386</v>
      </c>
    </row>
    <row r="232" spans="1:16" x14ac:dyDescent="0.45">
      <c r="A232" s="48">
        <v>40504</v>
      </c>
      <c r="B232" s="37">
        <v>18.652830000000002</v>
      </c>
      <c r="C232" s="37">
        <v>61.014769999999999</v>
      </c>
      <c r="D232" s="37">
        <v>12.0458</v>
      </c>
      <c r="E232" s="37">
        <v>32.19</v>
      </c>
      <c r="F232" s="37">
        <v>23.968710000000002</v>
      </c>
      <c r="G232" s="37">
        <v>30.410810000000001</v>
      </c>
      <c r="H232" s="37">
        <v>21.9937</v>
      </c>
      <c r="I232" s="37">
        <v>15.444459999999999</v>
      </c>
      <c r="J232" s="37">
        <v>53.502000000000002</v>
      </c>
      <c r="K232" s="37">
        <v>28.6556</v>
      </c>
      <c r="L232" s="37">
        <v>7.24153</v>
      </c>
      <c r="M232" s="37">
        <v>7.4709000000000003</v>
      </c>
      <c r="N232" s="37">
        <v>14.41525</v>
      </c>
      <c r="O232" s="37">
        <v>12.3428</v>
      </c>
      <c r="P232" s="38">
        <v>21.880710000000001</v>
      </c>
    </row>
    <row r="233" spans="1:16" x14ac:dyDescent="0.45">
      <c r="A233" s="48">
        <v>40505</v>
      </c>
      <c r="B233" s="37">
        <v>18.717610000000001</v>
      </c>
      <c r="C233" s="37">
        <v>61.014769999999999</v>
      </c>
      <c r="D233" s="37">
        <v>11.845700000000001</v>
      </c>
      <c r="E233" s="37">
        <v>32</v>
      </c>
      <c r="F233" s="37">
        <v>23.893439999999998</v>
      </c>
      <c r="G233" s="37">
        <v>30.116859999999999</v>
      </c>
      <c r="H233" s="37">
        <v>22.372140000000002</v>
      </c>
      <c r="I233" s="37">
        <v>15.41441</v>
      </c>
      <c r="J233" s="37">
        <v>52.426600000000001</v>
      </c>
      <c r="K233" s="37">
        <v>28.502199999999998</v>
      </c>
      <c r="L233" s="37">
        <v>7.1445499999999997</v>
      </c>
      <c r="M233" s="37">
        <v>7.4373899999999997</v>
      </c>
      <c r="N233" s="37">
        <v>14.14899</v>
      </c>
      <c r="O233" s="37">
        <v>12.251110000000001</v>
      </c>
      <c r="P233" s="38">
        <v>21.880710000000001</v>
      </c>
    </row>
    <row r="234" spans="1:16" x14ac:dyDescent="0.45">
      <c r="A234" s="48">
        <v>40506</v>
      </c>
      <c r="B234" s="37">
        <v>18.52328</v>
      </c>
      <c r="C234" s="37">
        <v>61.494660000000003</v>
      </c>
      <c r="D234" s="37">
        <v>11.7257</v>
      </c>
      <c r="E234" s="37">
        <v>31.62</v>
      </c>
      <c r="F234" s="37">
        <v>23.893439999999998</v>
      </c>
      <c r="G234" s="37">
        <v>29.738800000000001</v>
      </c>
      <c r="H234" s="37">
        <v>22.203949999999999</v>
      </c>
      <c r="I234" s="37">
        <v>15.29424</v>
      </c>
      <c r="J234" s="37">
        <v>52.762700000000002</v>
      </c>
      <c r="K234" s="37">
        <v>28.4255</v>
      </c>
      <c r="L234" s="37">
        <v>7.0798899999999998</v>
      </c>
      <c r="M234" s="37">
        <v>7.3787599999999998</v>
      </c>
      <c r="N234" s="37">
        <v>14.072900000000001</v>
      </c>
      <c r="O234" s="37">
        <v>12.19007</v>
      </c>
      <c r="P234" s="38">
        <v>21.55029</v>
      </c>
    </row>
    <row r="235" spans="1:16" x14ac:dyDescent="0.45">
      <c r="A235" s="48">
        <v>40507</v>
      </c>
      <c r="B235" s="37">
        <v>19.397649999999999</v>
      </c>
      <c r="C235" s="37">
        <v>61.288989999999998</v>
      </c>
      <c r="D235" s="37">
        <v>12.005800000000001</v>
      </c>
      <c r="E235" s="37">
        <v>31.86</v>
      </c>
      <c r="F235" s="37">
        <v>23.931039999999999</v>
      </c>
      <c r="G235" s="37">
        <v>29.906829999999999</v>
      </c>
      <c r="H235" s="37">
        <v>22.11985</v>
      </c>
      <c r="I235" s="37">
        <v>14.93365</v>
      </c>
      <c r="J235" s="37">
        <v>52.762700000000002</v>
      </c>
      <c r="K235" s="37">
        <v>28.6173</v>
      </c>
      <c r="L235" s="37">
        <v>7.1122199999999998</v>
      </c>
      <c r="M235" s="37">
        <v>7.4038899999999996</v>
      </c>
      <c r="N235" s="37">
        <v>14.22508</v>
      </c>
      <c r="O235" s="37">
        <v>12.4344</v>
      </c>
      <c r="P235" s="38">
        <v>21.440159999999999</v>
      </c>
    </row>
    <row r="236" spans="1:16" x14ac:dyDescent="0.45">
      <c r="A236" s="48">
        <v>40508</v>
      </c>
      <c r="B236" s="37">
        <v>19.235659999999999</v>
      </c>
      <c r="C236" s="37">
        <v>59.506540000000001</v>
      </c>
      <c r="D236" s="37">
        <v>11.925800000000001</v>
      </c>
      <c r="E236" s="37">
        <v>31.43</v>
      </c>
      <c r="F236" s="37">
        <v>23.51717</v>
      </c>
      <c r="G236" s="37">
        <v>30.116859999999999</v>
      </c>
      <c r="H236" s="37">
        <v>21.32084</v>
      </c>
      <c r="I236" s="37">
        <v>14.45289</v>
      </c>
      <c r="J236" s="37">
        <v>52.224899999999998</v>
      </c>
      <c r="K236" s="37">
        <v>28.463799999999999</v>
      </c>
      <c r="L236" s="37">
        <v>7.1122199999999998</v>
      </c>
      <c r="M236" s="37">
        <v>7.3620200000000002</v>
      </c>
      <c r="N236" s="37">
        <v>14.072900000000001</v>
      </c>
      <c r="O236" s="37">
        <v>12.251110000000001</v>
      </c>
      <c r="P236" s="38">
        <v>21.330020000000001</v>
      </c>
    </row>
    <row r="237" spans="1:16" x14ac:dyDescent="0.45">
      <c r="A237" s="48">
        <v>40511</v>
      </c>
      <c r="B237" s="37">
        <v>19.300439999999998</v>
      </c>
      <c r="C237" s="37">
        <v>63.551340000000003</v>
      </c>
      <c r="D237" s="37">
        <v>12.085800000000001</v>
      </c>
      <c r="E237" s="37">
        <v>31.95</v>
      </c>
      <c r="F237" s="37">
        <v>23.59244</v>
      </c>
      <c r="G237" s="37">
        <v>30.074850000000001</v>
      </c>
      <c r="H237" s="37">
        <v>21.44698</v>
      </c>
      <c r="I237" s="37">
        <v>14.90361</v>
      </c>
      <c r="J237" s="37">
        <v>52.896999999999998</v>
      </c>
      <c r="K237" s="37">
        <v>28.6173</v>
      </c>
      <c r="L237" s="37">
        <v>7.1445499999999997</v>
      </c>
      <c r="M237" s="37">
        <v>7.4709000000000003</v>
      </c>
      <c r="N237" s="37">
        <v>14.110989999999999</v>
      </c>
      <c r="O237" s="37">
        <v>12.403930000000001</v>
      </c>
      <c r="P237" s="38">
        <v>21.55029</v>
      </c>
    </row>
    <row r="238" spans="1:16" x14ac:dyDescent="0.45">
      <c r="A238" s="48">
        <v>40512</v>
      </c>
      <c r="B238" s="37">
        <v>20.401489999999999</v>
      </c>
      <c r="C238" s="37">
        <v>63.277119999999996</v>
      </c>
      <c r="D238" s="37">
        <v>12.085800000000001</v>
      </c>
      <c r="E238" s="37">
        <v>32</v>
      </c>
      <c r="F238" s="37">
        <v>23.59244</v>
      </c>
      <c r="G238" s="37">
        <v>29.864820000000002</v>
      </c>
      <c r="H238" s="37">
        <v>21.573129999999999</v>
      </c>
      <c r="I238" s="37">
        <v>15.14395</v>
      </c>
      <c r="J238" s="37">
        <v>52.4938</v>
      </c>
      <c r="K238" s="37">
        <v>28.540500000000002</v>
      </c>
      <c r="L238" s="37">
        <v>7.1768700000000001</v>
      </c>
      <c r="M238" s="37">
        <v>7.3787599999999998</v>
      </c>
      <c r="N238" s="37">
        <v>14.18708</v>
      </c>
      <c r="O238" s="37">
        <v>12.464969999999999</v>
      </c>
      <c r="P238" s="38">
        <v>21.880710000000001</v>
      </c>
    </row>
    <row r="239" spans="1:16" x14ac:dyDescent="0.45">
      <c r="A239" s="48">
        <v>40513</v>
      </c>
      <c r="B239" s="37">
        <v>20.757719999999999</v>
      </c>
      <c r="C239" s="37">
        <v>63.757010000000001</v>
      </c>
      <c r="D239" s="37">
        <v>12.2859</v>
      </c>
      <c r="E239" s="37">
        <v>32.19</v>
      </c>
      <c r="F239" s="37">
        <v>23.59244</v>
      </c>
      <c r="G239" s="37">
        <v>31.25095</v>
      </c>
      <c r="H239" s="37">
        <v>21.531079999999999</v>
      </c>
      <c r="I239" s="37">
        <v>15.925219999999999</v>
      </c>
      <c r="J239" s="37">
        <v>53.434800000000003</v>
      </c>
      <c r="K239" s="37">
        <v>29.192699999999999</v>
      </c>
      <c r="L239" s="37">
        <v>7.4678300000000002</v>
      </c>
      <c r="M239" s="37">
        <v>7.6216499999999998</v>
      </c>
      <c r="N239" s="37">
        <v>15.061870000000001</v>
      </c>
      <c r="O239" s="37">
        <v>13.32039</v>
      </c>
      <c r="P239" s="38">
        <v>22.24783</v>
      </c>
    </row>
    <row r="240" spans="1:16" x14ac:dyDescent="0.45">
      <c r="A240" s="48">
        <v>40514</v>
      </c>
      <c r="B240" s="37">
        <v>20.887270000000001</v>
      </c>
      <c r="C240" s="37">
        <v>64.031229999999994</v>
      </c>
      <c r="D240" s="37">
        <v>12.886200000000001</v>
      </c>
      <c r="E240" s="37">
        <v>32.090000000000003</v>
      </c>
      <c r="F240" s="37">
        <v>23.705300000000001</v>
      </c>
      <c r="G240" s="37">
        <v>31.082920000000001</v>
      </c>
      <c r="H240" s="37">
        <v>21.909610000000001</v>
      </c>
      <c r="I240" s="37">
        <v>15.865130000000001</v>
      </c>
      <c r="J240" s="37">
        <v>53.905299999999997</v>
      </c>
      <c r="K240" s="37">
        <v>29.231000000000002</v>
      </c>
      <c r="L240" s="37">
        <v>7.5971399999999996</v>
      </c>
      <c r="M240" s="37">
        <v>7.6802799999999998</v>
      </c>
      <c r="N240" s="37">
        <v>15.40413</v>
      </c>
      <c r="O240" s="37">
        <v>13.931469999999999</v>
      </c>
      <c r="P240" s="38">
        <v>22.137689999999999</v>
      </c>
    </row>
    <row r="241" spans="1:16" x14ac:dyDescent="0.45">
      <c r="A241" s="48">
        <v>40515</v>
      </c>
      <c r="B241" s="37">
        <v>20.69294</v>
      </c>
      <c r="C241" s="37">
        <v>61.905999999999999</v>
      </c>
      <c r="D241" s="37">
        <v>13.126300000000001</v>
      </c>
      <c r="E241" s="37">
        <v>32.19</v>
      </c>
      <c r="F241" s="37">
        <v>23.705300000000001</v>
      </c>
      <c r="G241" s="37">
        <v>31.37697</v>
      </c>
      <c r="H241" s="37">
        <v>21.44698</v>
      </c>
      <c r="I241" s="37">
        <v>15.444459999999999</v>
      </c>
      <c r="J241" s="37">
        <v>53.031500000000001</v>
      </c>
      <c r="K241" s="37">
        <v>29.0776</v>
      </c>
      <c r="L241" s="37">
        <v>7.5001600000000002</v>
      </c>
      <c r="M241" s="37">
        <v>7.6383999999999999</v>
      </c>
      <c r="N241" s="37">
        <v>15.442220000000001</v>
      </c>
      <c r="O241" s="37">
        <v>14.05364</v>
      </c>
      <c r="P241" s="38">
        <v>22.027560000000001</v>
      </c>
    </row>
    <row r="242" spans="1:16" x14ac:dyDescent="0.45">
      <c r="A242" s="48">
        <v>40518</v>
      </c>
      <c r="B242" s="37">
        <v>20.757719999999999</v>
      </c>
      <c r="C242" s="37">
        <v>62.385890000000003</v>
      </c>
      <c r="D242" s="37">
        <v>13.126300000000001</v>
      </c>
      <c r="E242" s="37">
        <v>33.22</v>
      </c>
      <c r="F242" s="37">
        <v>23.85585</v>
      </c>
      <c r="G242" s="37">
        <v>31.25095</v>
      </c>
      <c r="H242" s="37">
        <v>21.699269999999999</v>
      </c>
      <c r="I242" s="37">
        <v>15.564629999999999</v>
      </c>
      <c r="J242" s="37">
        <v>53.703699999999998</v>
      </c>
      <c r="K242" s="37">
        <v>29.499600000000001</v>
      </c>
      <c r="L242" s="37">
        <v>7.6941300000000004</v>
      </c>
      <c r="M242" s="37">
        <v>7.7221599999999997</v>
      </c>
      <c r="N242" s="37">
        <v>15.860569999999999</v>
      </c>
      <c r="O242" s="37">
        <v>14.878579999999999</v>
      </c>
      <c r="P242" s="38">
        <v>22.027560000000001</v>
      </c>
    </row>
    <row r="243" spans="1:16" x14ac:dyDescent="0.45">
      <c r="A243" s="48">
        <v>40519</v>
      </c>
      <c r="B243" s="37">
        <v>20.369140000000002</v>
      </c>
      <c r="C243" s="37">
        <v>63.482779999999998</v>
      </c>
      <c r="D243" s="37">
        <v>13.0063</v>
      </c>
      <c r="E243" s="37">
        <v>34.21</v>
      </c>
      <c r="F243" s="37">
        <v>23.893439999999998</v>
      </c>
      <c r="G243" s="37">
        <v>30.872890000000002</v>
      </c>
      <c r="H243" s="37">
        <v>21.615169999999999</v>
      </c>
      <c r="I243" s="37">
        <v>15.835089999999999</v>
      </c>
      <c r="J243" s="37">
        <v>53.905299999999997</v>
      </c>
      <c r="K243" s="37">
        <v>29.5764</v>
      </c>
      <c r="L243" s="37">
        <v>7.6941300000000004</v>
      </c>
      <c r="M243" s="37">
        <v>7.6970299999999998</v>
      </c>
      <c r="N243" s="37">
        <v>16.164829999999998</v>
      </c>
      <c r="O243" s="37">
        <v>14.84802</v>
      </c>
      <c r="P243" s="38">
        <v>22.541530000000002</v>
      </c>
    </row>
    <row r="244" spans="1:16" x14ac:dyDescent="0.45">
      <c r="A244" s="48">
        <v>40520</v>
      </c>
      <c r="B244" s="37">
        <v>20.59582</v>
      </c>
      <c r="C244" s="37">
        <v>63.071449999999999</v>
      </c>
      <c r="D244" s="37">
        <v>12.886200000000001</v>
      </c>
      <c r="E244" s="37">
        <v>33.69</v>
      </c>
      <c r="F244" s="37">
        <v>23.931039999999999</v>
      </c>
      <c r="G244" s="37">
        <v>31.04091</v>
      </c>
      <c r="H244" s="37">
        <v>21.44698</v>
      </c>
      <c r="I244" s="37">
        <v>15.444459999999999</v>
      </c>
      <c r="J244" s="37">
        <v>53.838099999999997</v>
      </c>
      <c r="K244" s="37">
        <v>29.384499999999999</v>
      </c>
      <c r="L244" s="37">
        <v>7.6618000000000004</v>
      </c>
      <c r="M244" s="37">
        <v>7.6383999999999999</v>
      </c>
      <c r="N244" s="37">
        <v>15.78448</v>
      </c>
      <c r="O244" s="37">
        <v>14.66473</v>
      </c>
      <c r="P244" s="38">
        <v>22.211120000000001</v>
      </c>
    </row>
    <row r="245" spans="1:16" x14ac:dyDescent="0.45">
      <c r="A245" s="48">
        <v>40521</v>
      </c>
      <c r="B245" s="37">
        <v>21.243500000000001</v>
      </c>
      <c r="C245" s="37">
        <v>61.768880000000003</v>
      </c>
      <c r="D245" s="37">
        <v>13.3665</v>
      </c>
      <c r="E245" s="37">
        <v>33.880000000000003</v>
      </c>
      <c r="F245" s="37">
        <v>24.156849999999999</v>
      </c>
      <c r="G245" s="37">
        <v>31.124929999999999</v>
      </c>
      <c r="H245" s="37">
        <v>21.741320000000002</v>
      </c>
      <c r="I245" s="37">
        <v>15.29424</v>
      </c>
      <c r="J245" s="37">
        <v>53.233199999999997</v>
      </c>
      <c r="K245" s="37">
        <v>28.8858</v>
      </c>
      <c r="L245" s="37">
        <v>7.6618000000000004</v>
      </c>
      <c r="M245" s="37">
        <v>7.6802799999999998</v>
      </c>
      <c r="N245" s="37">
        <v>15.97466</v>
      </c>
      <c r="O245" s="37">
        <v>14.573040000000001</v>
      </c>
      <c r="P245" s="38">
        <v>22.321259999999999</v>
      </c>
    </row>
    <row r="246" spans="1:16" x14ac:dyDescent="0.45">
      <c r="A246" s="48">
        <v>40522</v>
      </c>
      <c r="B246" s="37">
        <v>21.1463</v>
      </c>
      <c r="C246" s="37">
        <v>57.998309999999996</v>
      </c>
      <c r="D246" s="37">
        <v>13.0463</v>
      </c>
      <c r="E246" s="37">
        <v>33.6</v>
      </c>
      <c r="F246" s="37">
        <v>24.119260000000001</v>
      </c>
      <c r="G246" s="37">
        <v>30.57884</v>
      </c>
      <c r="H246" s="37">
        <v>21.951650000000001</v>
      </c>
      <c r="I246" s="37">
        <v>14.57306</v>
      </c>
      <c r="J246" s="37">
        <v>51.956099999999999</v>
      </c>
      <c r="K246" s="37">
        <v>28.6173</v>
      </c>
      <c r="L246" s="37">
        <v>7.7264600000000003</v>
      </c>
      <c r="M246" s="37">
        <v>7.6216499999999998</v>
      </c>
      <c r="N246" s="37">
        <v>15.632389999999999</v>
      </c>
      <c r="O246" s="37">
        <v>14.420310000000001</v>
      </c>
      <c r="P246" s="38">
        <v>22.174410000000002</v>
      </c>
    </row>
    <row r="247" spans="1:16" x14ac:dyDescent="0.45">
      <c r="A247" s="48">
        <v>40525</v>
      </c>
      <c r="B247" s="37">
        <v>21.372979999999998</v>
      </c>
      <c r="C247" s="37">
        <v>58.820979999999999</v>
      </c>
      <c r="D247" s="37">
        <v>12.9663</v>
      </c>
      <c r="E247" s="37">
        <v>34.07</v>
      </c>
      <c r="F247" s="37">
        <v>23.968710000000002</v>
      </c>
      <c r="G247" s="37">
        <v>30.410810000000001</v>
      </c>
      <c r="H247" s="37">
        <v>22.203949999999999</v>
      </c>
      <c r="I247" s="37">
        <v>14.84352</v>
      </c>
      <c r="J247" s="37">
        <v>52.157800000000002</v>
      </c>
      <c r="K247" s="37">
        <v>28.693999999999999</v>
      </c>
      <c r="L247" s="37">
        <v>7.6618000000000004</v>
      </c>
      <c r="M247" s="37">
        <v>7.6216499999999998</v>
      </c>
      <c r="N247" s="37">
        <v>15.632389999999999</v>
      </c>
      <c r="O247" s="37">
        <v>14.63416</v>
      </c>
      <c r="P247" s="38">
        <v>22.137689999999999</v>
      </c>
    </row>
    <row r="248" spans="1:16" x14ac:dyDescent="0.45">
      <c r="A248" s="48">
        <v>40526</v>
      </c>
      <c r="B248" s="37">
        <v>21.113949999999999</v>
      </c>
      <c r="C248" s="37">
        <v>58.752420000000001</v>
      </c>
      <c r="D248" s="37">
        <v>12.8462</v>
      </c>
      <c r="E248" s="37">
        <v>34.26</v>
      </c>
      <c r="F248" s="37">
        <v>24.081579999999999</v>
      </c>
      <c r="G248" s="37">
        <v>29.906829999999999</v>
      </c>
      <c r="H248" s="37">
        <v>22.330089999999998</v>
      </c>
      <c r="I248" s="37">
        <v>15.204029999999999</v>
      </c>
      <c r="J248" s="37">
        <v>52.426600000000001</v>
      </c>
      <c r="K248" s="37">
        <v>28.693999999999999</v>
      </c>
      <c r="L248" s="37">
        <v>7.7264600000000003</v>
      </c>
      <c r="M248" s="37">
        <v>7.5965199999999999</v>
      </c>
      <c r="N248" s="37">
        <v>15.40413</v>
      </c>
      <c r="O248" s="37">
        <v>14.51191</v>
      </c>
      <c r="P248" s="38">
        <v>22.174410000000002</v>
      </c>
    </row>
    <row r="249" spans="1:16" x14ac:dyDescent="0.45">
      <c r="A249" s="48">
        <v>40527</v>
      </c>
      <c r="B249" s="37">
        <v>21.437750000000001</v>
      </c>
      <c r="C249" s="37">
        <v>61.357550000000003</v>
      </c>
      <c r="D249" s="37">
        <v>13.0063</v>
      </c>
      <c r="E249" s="37">
        <v>34.07</v>
      </c>
      <c r="F249" s="37">
        <v>24.19444</v>
      </c>
      <c r="G249" s="37">
        <v>30.410810000000001</v>
      </c>
      <c r="H249" s="37">
        <v>22.245989999999999</v>
      </c>
      <c r="I249" s="37">
        <v>15.204029999999999</v>
      </c>
      <c r="J249" s="37">
        <v>52.695500000000003</v>
      </c>
      <c r="K249" s="37">
        <v>28.809100000000001</v>
      </c>
      <c r="L249" s="37">
        <v>7.7264600000000003</v>
      </c>
      <c r="M249" s="37">
        <v>7.7975399999999997</v>
      </c>
      <c r="N249" s="37">
        <v>15.59431</v>
      </c>
      <c r="O249" s="37">
        <v>14.84802</v>
      </c>
      <c r="P249" s="38">
        <v>21.880710000000001</v>
      </c>
    </row>
    <row r="250" spans="1:16" x14ac:dyDescent="0.45">
      <c r="A250" s="48">
        <v>40528</v>
      </c>
      <c r="B250" s="37">
        <v>22.150220000000001</v>
      </c>
      <c r="C250" s="37">
        <v>61.426099999999998</v>
      </c>
      <c r="D250" s="37">
        <v>13.126300000000001</v>
      </c>
      <c r="E250" s="37">
        <v>34.020000000000003</v>
      </c>
      <c r="F250" s="37">
        <v>24.19444</v>
      </c>
      <c r="G250" s="37">
        <v>30.410810000000001</v>
      </c>
      <c r="H250" s="37">
        <v>22.70862</v>
      </c>
      <c r="I250" s="37">
        <v>15.29424</v>
      </c>
      <c r="J250" s="37">
        <v>53.098700000000001</v>
      </c>
      <c r="K250" s="37">
        <v>28.732399999999998</v>
      </c>
      <c r="L250" s="37">
        <v>7.88809</v>
      </c>
      <c r="M250" s="37">
        <v>8.19956</v>
      </c>
      <c r="N250" s="37">
        <v>15.55631</v>
      </c>
      <c r="O250" s="37">
        <v>14.69529</v>
      </c>
      <c r="P250" s="38">
        <v>21.660430000000002</v>
      </c>
    </row>
    <row r="251" spans="1:16" x14ac:dyDescent="0.45">
      <c r="A251" s="48">
        <v>40529</v>
      </c>
      <c r="B251" s="37">
        <v>22.992159999999998</v>
      </c>
      <c r="C251" s="37">
        <v>61.014769999999999</v>
      </c>
      <c r="D251" s="37">
        <v>13.3665</v>
      </c>
      <c r="E251" s="37">
        <v>33.93</v>
      </c>
      <c r="F251" s="37">
        <v>24.382580000000001</v>
      </c>
      <c r="G251" s="37">
        <v>30.326899999999998</v>
      </c>
      <c r="H251" s="37">
        <v>22.66657</v>
      </c>
      <c r="I251" s="37">
        <v>15.05382</v>
      </c>
      <c r="J251" s="37">
        <v>52.426600000000001</v>
      </c>
      <c r="K251" s="37">
        <v>28.809100000000001</v>
      </c>
      <c r="L251" s="37">
        <v>7.92042</v>
      </c>
      <c r="M251" s="37">
        <v>8.2665600000000001</v>
      </c>
      <c r="N251" s="37">
        <v>15.632389999999999</v>
      </c>
      <c r="O251" s="37">
        <v>15.18404</v>
      </c>
      <c r="P251" s="38">
        <v>21.440159999999999</v>
      </c>
    </row>
    <row r="252" spans="1:16" x14ac:dyDescent="0.45">
      <c r="A252" s="48">
        <v>40532</v>
      </c>
      <c r="B252" s="37">
        <v>21.50253</v>
      </c>
      <c r="C252" s="37">
        <v>58.409640000000003</v>
      </c>
      <c r="D252" s="37">
        <v>13.166399999999999</v>
      </c>
      <c r="E252" s="37">
        <v>33.65</v>
      </c>
      <c r="F252" s="37">
        <v>24.6084</v>
      </c>
      <c r="G252" s="37">
        <v>30.410810000000001</v>
      </c>
      <c r="H252" s="37">
        <v>22.414190000000001</v>
      </c>
      <c r="I252" s="37">
        <v>14.90361</v>
      </c>
      <c r="J252" s="37">
        <v>52.224899999999998</v>
      </c>
      <c r="K252" s="37">
        <v>28.8858</v>
      </c>
      <c r="L252" s="37">
        <v>7.92042</v>
      </c>
      <c r="M252" s="37">
        <v>8.1241800000000008</v>
      </c>
      <c r="N252" s="37">
        <v>15.518219999999999</v>
      </c>
      <c r="O252" s="37">
        <v>15.15348</v>
      </c>
      <c r="P252" s="38">
        <v>21.293310000000002</v>
      </c>
    </row>
    <row r="253" spans="1:16" ht="16.5" thickBot="1" x14ac:dyDescent="0.5">
      <c r="A253" s="49">
        <v>40533</v>
      </c>
      <c r="B253" s="39">
        <v>21.761559999999999</v>
      </c>
      <c r="C253" s="39">
        <v>60.123539999999998</v>
      </c>
      <c r="D253" s="39">
        <v>13.166399999999999</v>
      </c>
      <c r="E253" s="39">
        <v>33.83</v>
      </c>
      <c r="F253" s="39">
        <v>24.796530000000001</v>
      </c>
      <c r="G253" s="39">
        <v>30.620850000000001</v>
      </c>
      <c r="H253" s="39">
        <v>23.507539999999999</v>
      </c>
      <c r="I253" s="39">
        <v>14.81348</v>
      </c>
      <c r="J253" s="39">
        <v>52.426600000000001</v>
      </c>
      <c r="K253" s="39">
        <v>28.962499999999999</v>
      </c>
      <c r="L253" s="39">
        <v>7.98508</v>
      </c>
      <c r="M253" s="39">
        <v>8.4592100000000006</v>
      </c>
      <c r="N253" s="39">
        <v>15.70839</v>
      </c>
      <c r="O253" s="39">
        <v>15.214600000000001</v>
      </c>
      <c r="P253" s="40">
        <v>21.587009999999999</v>
      </c>
    </row>
    <row r="254" spans="1:16" x14ac:dyDescent="0.45">
      <c r="A254" s="47">
        <v>40534</v>
      </c>
      <c r="B254" s="41">
        <v>21.40541</v>
      </c>
      <c r="C254" s="41">
        <v>60.671990000000001</v>
      </c>
      <c r="D254" s="41">
        <v>13.0863</v>
      </c>
      <c r="E254" s="41">
        <v>33.5</v>
      </c>
      <c r="F254" s="41">
        <v>24.758859999999999</v>
      </c>
      <c r="G254" s="41">
        <v>30.662849999999999</v>
      </c>
      <c r="H254" s="41">
        <v>24.390650000000001</v>
      </c>
      <c r="I254" s="41">
        <v>14.69323</v>
      </c>
      <c r="J254" s="41">
        <v>52.157800000000002</v>
      </c>
      <c r="K254" s="41">
        <v>29.154299999999999</v>
      </c>
      <c r="L254" s="41">
        <v>8.0497399999999999</v>
      </c>
      <c r="M254" s="41">
        <v>8.4592100000000006</v>
      </c>
      <c r="N254" s="41">
        <v>15.74648</v>
      </c>
      <c r="O254" s="41">
        <v>15.122999999999999</v>
      </c>
      <c r="P254" s="42">
        <v>21.770569999999999</v>
      </c>
    </row>
    <row r="255" spans="1:16" x14ac:dyDescent="0.45">
      <c r="A255" s="47">
        <v>40535</v>
      </c>
      <c r="B255" s="43">
        <v>21.534880000000001</v>
      </c>
      <c r="C255" s="43">
        <v>61.974550000000001</v>
      </c>
      <c r="D255" s="43">
        <v>13.0463</v>
      </c>
      <c r="E255" s="43">
        <v>34.07</v>
      </c>
      <c r="F255" s="43">
        <v>24.645990000000001</v>
      </c>
      <c r="G255" s="43">
        <v>31.082920000000001</v>
      </c>
      <c r="H255" s="43">
        <v>24.138359999999999</v>
      </c>
      <c r="I255" s="43">
        <v>14.993740000000001</v>
      </c>
      <c r="J255" s="43">
        <v>52.762700000000002</v>
      </c>
      <c r="K255" s="43">
        <v>29.0776</v>
      </c>
      <c r="L255" s="43">
        <v>8.0820699999999999</v>
      </c>
      <c r="M255" s="43">
        <v>8.4592100000000006</v>
      </c>
      <c r="N255" s="43">
        <v>15.822570000000001</v>
      </c>
      <c r="O255" s="43">
        <v>14.84802</v>
      </c>
      <c r="P255" s="44">
        <v>22.761810000000001</v>
      </c>
    </row>
    <row r="256" spans="1:16" x14ac:dyDescent="0.45">
      <c r="A256" s="47">
        <v>40536</v>
      </c>
      <c r="B256" s="43">
        <v>21.275849999999998</v>
      </c>
      <c r="C256" s="43">
        <v>61.426099999999998</v>
      </c>
      <c r="D256" s="43">
        <v>13.0063</v>
      </c>
      <c r="E256" s="43">
        <v>33.74</v>
      </c>
      <c r="F256" s="43">
        <v>24.683669999999999</v>
      </c>
      <c r="G256" s="43">
        <v>31.124929999999999</v>
      </c>
      <c r="H256" s="43">
        <v>24.096309999999999</v>
      </c>
      <c r="I256" s="43">
        <v>14.66319</v>
      </c>
      <c r="J256" s="43">
        <v>52.4938</v>
      </c>
      <c r="K256" s="43">
        <v>29.0776</v>
      </c>
      <c r="L256" s="43">
        <v>8.0497399999999999</v>
      </c>
      <c r="M256" s="43">
        <v>8.6686300000000003</v>
      </c>
      <c r="N256" s="43">
        <v>15.632389999999999</v>
      </c>
      <c r="O256" s="43">
        <v>14.84802</v>
      </c>
      <c r="P256" s="44">
        <v>22.61496</v>
      </c>
    </row>
    <row r="257" spans="1:16" x14ac:dyDescent="0.45">
      <c r="A257" s="47">
        <v>40539</v>
      </c>
      <c r="B257" s="43">
        <v>21.275849999999998</v>
      </c>
      <c r="C257" s="43">
        <v>62.385890000000003</v>
      </c>
      <c r="D257" s="43">
        <v>13.0063</v>
      </c>
      <c r="E257" s="43">
        <v>34.26</v>
      </c>
      <c r="F257" s="43">
        <v>24.796530000000001</v>
      </c>
      <c r="G257" s="43">
        <v>30.830880000000001</v>
      </c>
      <c r="H257" s="43">
        <v>24.01221</v>
      </c>
      <c r="I257" s="43">
        <v>14.723269999999999</v>
      </c>
      <c r="J257" s="43">
        <v>52.224899999999998</v>
      </c>
      <c r="K257" s="43">
        <v>29.653099999999998</v>
      </c>
      <c r="L257" s="43">
        <v>8.3083600000000004</v>
      </c>
      <c r="M257" s="43">
        <v>9.2548499999999994</v>
      </c>
      <c r="N257" s="43">
        <v>16.050750000000001</v>
      </c>
      <c r="O257" s="43">
        <v>15.275729999999999</v>
      </c>
      <c r="P257" s="44">
        <v>21.990849999999998</v>
      </c>
    </row>
    <row r="258" spans="1:16" x14ac:dyDescent="0.45">
      <c r="A258" s="47">
        <v>40540</v>
      </c>
      <c r="B258" s="43">
        <v>20.887270000000001</v>
      </c>
      <c r="C258" s="43">
        <v>61.426099999999998</v>
      </c>
      <c r="D258" s="43">
        <v>12.9663</v>
      </c>
      <c r="E258" s="43">
        <v>34.49</v>
      </c>
      <c r="F258" s="43">
        <v>24.758859999999999</v>
      </c>
      <c r="G258" s="43">
        <v>31.082920000000001</v>
      </c>
      <c r="H258" s="43">
        <v>23.92811</v>
      </c>
      <c r="I258" s="43">
        <v>14.723269999999999</v>
      </c>
      <c r="J258" s="43">
        <v>51.956099999999999</v>
      </c>
      <c r="K258" s="43">
        <v>29.422799999999999</v>
      </c>
      <c r="L258" s="43">
        <v>8.3083600000000004</v>
      </c>
      <c r="M258" s="43">
        <v>9.5480099999999997</v>
      </c>
      <c r="N258" s="43">
        <v>15.97466</v>
      </c>
      <c r="O258" s="43">
        <v>15.214600000000001</v>
      </c>
      <c r="P258" s="44">
        <v>22.027560000000001</v>
      </c>
    </row>
    <row r="259" spans="1:16" x14ac:dyDescent="0.45">
      <c r="A259" s="47">
        <v>40541</v>
      </c>
      <c r="B259" s="43">
        <v>20.531040000000001</v>
      </c>
      <c r="C259" s="43">
        <v>60.740549999999999</v>
      </c>
      <c r="D259" s="43">
        <v>12.8462</v>
      </c>
      <c r="E259" s="43">
        <v>35.950000000000003</v>
      </c>
      <c r="F259" s="43">
        <v>24.721260000000001</v>
      </c>
      <c r="G259" s="43">
        <v>30.536829999999998</v>
      </c>
      <c r="H259" s="43">
        <v>25.2318</v>
      </c>
      <c r="I259" s="43">
        <v>14.48293</v>
      </c>
      <c r="J259" s="43">
        <v>51.754399999999997</v>
      </c>
      <c r="K259" s="43">
        <v>29.729800000000001</v>
      </c>
      <c r="L259" s="43">
        <v>8.5346600000000006</v>
      </c>
      <c r="M259" s="43">
        <v>10.17619</v>
      </c>
      <c r="N259" s="43">
        <v>16.507180000000002</v>
      </c>
      <c r="O259" s="43">
        <v>16.253399999999999</v>
      </c>
      <c r="P259" s="44">
        <v>21.330020000000001</v>
      </c>
    </row>
    <row r="260" spans="1:16" x14ac:dyDescent="0.45">
      <c r="A260" s="47">
        <v>40542</v>
      </c>
      <c r="B260" s="43">
        <v>20.919619999999998</v>
      </c>
      <c r="C260" s="43">
        <v>62.454439999999998</v>
      </c>
      <c r="D260" s="43">
        <v>12.926299999999999</v>
      </c>
      <c r="E260" s="43">
        <v>35.29</v>
      </c>
      <c r="F260" s="43">
        <v>24.834129999999998</v>
      </c>
      <c r="G260" s="43">
        <v>30.662849999999999</v>
      </c>
      <c r="H260" s="43">
        <v>25.90457</v>
      </c>
      <c r="I260" s="43">
        <v>14.54302</v>
      </c>
      <c r="J260" s="43">
        <v>52.023299999999999</v>
      </c>
      <c r="K260" s="43">
        <v>29.883199999999999</v>
      </c>
      <c r="L260" s="43">
        <v>8.5346600000000006</v>
      </c>
      <c r="M260" s="43">
        <v>10.21805</v>
      </c>
      <c r="N260" s="43">
        <v>16.431100000000001</v>
      </c>
      <c r="O260" s="43">
        <v>16.161709999999999</v>
      </c>
      <c r="P260" s="44">
        <v>21.36673</v>
      </c>
    </row>
    <row r="261" spans="1:16" x14ac:dyDescent="0.45">
      <c r="A261" s="47">
        <v>40543</v>
      </c>
      <c r="B261" s="43">
        <v>21.85876</v>
      </c>
      <c r="C261" s="43">
        <v>66.773470000000003</v>
      </c>
      <c r="D261" s="43">
        <v>13.0463</v>
      </c>
      <c r="E261" s="43">
        <v>35.950000000000003</v>
      </c>
      <c r="F261" s="43">
        <v>25.2104</v>
      </c>
      <c r="G261" s="43">
        <v>30.536829999999998</v>
      </c>
      <c r="H261" s="43">
        <v>25.484089999999998</v>
      </c>
      <c r="I261" s="43">
        <v>14.723269999999999</v>
      </c>
      <c r="J261" s="43">
        <v>52.762700000000002</v>
      </c>
      <c r="K261" s="43">
        <v>30.688800000000001</v>
      </c>
      <c r="L261" s="43">
        <v>8.6963100000000004</v>
      </c>
      <c r="M261" s="43">
        <v>10.762409999999999</v>
      </c>
      <c r="N261" s="43">
        <v>16.583269999999999</v>
      </c>
      <c r="O261" s="43">
        <v>16.406130000000001</v>
      </c>
      <c r="P261" s="44">
        <v>21.513580000000001</v>
      </c>
    </row>
    <row r="262" spans="1:16" x14ac:dyDescent="0.45">
      <c r="A262" s="47">
        <v>40546</v>
      </c>
      <c r="B262" s="43">
        <v>21.372979999999998</v>
      </c>
      <c r="C262" s="43">
        <v>65.813680000000005</v>
      </c>
      <c r="D262" s="43">
        <v>12.9663</v>
      </c>
      <c r="E262" s="43">
        <v>36.14</v>
      </c>
      <c r="F262" s="43">
        <v>25.699539999999999</v>
      </c>
      <c r="G262" s="43">
        <v>31.502980000000001</v>
      </c>
      <c r="H262" s="43">
        <v>26.030719999999999</v>
      </c>
      <c r="I262" s="43">
        <v>14.783440000000001</v>
      </c>
      <c r="J262" s="43">
        <v>53.434800000000003</v>
      </c>
      <c r="K262" s="43">
        <v>31.225899999999999</v>
      </c>
      <c r="L262" s="43">
        <v>8.9549199999999995</v>
      </c>
      <c r="M262" s="43">
        <v>11.474320000000001</v>
      </c>
      <c r="N262" s="43">
        <v>16.73536</v>
      </c>
      <c r="O262" s="43">
        <v>16.650549999999999</v>
      </c>
      <c r="P262" s="44">
        <v>21.18317</v>
      </c>
    </row>
    <row r="263" spans="1:16" x14ac:dyDescent="0.45">
      <c r="A263" s="47">
        <v>40547</v>
      </c>
      <c r="B263" s="43">
        <v>21.729209999999998</v>
      </c>
      <c r="C263" s="43">
        <v>64.853899999999996</v>
      </c>
      <c r="D263" s="43">
        <v>12.9663</v>
      </c>
      <c r="E263" s="43">
        <v>35.39</v>
      </c>
      <c r="F263" s="43">
        <v>25.511410000000001</v>
      </c>
      <c r="G263" s="43">
        <v>32.04898</v>
      </c>
      <c r="H263" s="43">
        <v>25.652280000000001</v>
      </c>
      <c r="I263" s="43">
        <v>14.96369</v>
      </c>
      <c r="J263" s="43">
        <v>54.510199999999998</v>
      </c>
      <c r="K263" s="43">
        <v>30.535399999999999</v>
      </c>
      <c r="L263" s="43">
        <v>8.5023300000000006</v>
      </c>
      <c r="M263" s="43">
        <v>11.097429999999999</v>
      </c>
      <c r="N263" s="43">
        <v>16.3931</v>
      </c>
      <c r="O263" s="43">
        <v>16.131150000000002</v>
      </c>
      <c r="P263" s="44">
        <v>21.256589999999999</v>
      </c>
    </row>
    <row r="264" spans="1:16" x14ac:dyDescent="0.45">
      <c r="A264" s="47">
        <v>40548</v>
      </c>
      <c r="B264" s="43">
        <v>20.725370000000002</v>
      </c>
      <c r="C264" s="43">
        <v>64.853899999999996</v>
      </c>
      <c r="D264" s="43">
        <v>12.446</v>
      </c>
      <c r="E264" s="43">
        <v>34.729999999999997</v>
      </c>
      <c r="F264" s="43">
        <v>25.2104</v>
      </c>
      <c r="G264" s="43">
        <v>31.964960000000001</v>
      </c>
      <c r="H264" s="43">
        <v>24.474830000000001</v>
      </c>
      <c r="I264" s="43">
        <v>14.69323</v>
      </c>
      <c r="J264" s="43">
        <v>54.711799999999997</v>
      </c>
      <c r="K264" s="43">
        <v>30.381900000000002</v>
      </c>
      <c r="L264" s="43">
        <v>8.3083600000000004</v>
      </c>
      <c r="M264" s="43">
        <v>10.67868</v>
      </c>
      <c r="N264" s="43">
        <v>16.202919999999999</v>
      </c>
      <c r="O264" s="43">
        <v>15.67287</v>
      </c>
      <c r="P264" s="44">
        <v>21.073029999999999</v>
      </c>
    </row>
    <row r="265" spans="1:16" x14ac:dyDescent="0.45">
      <c r="A265" s="47">
        <v>40549</v>
      </c>
      <c r="B265" s="43">
        <v>20.69294</v>
      </c>
      <c r="C265" s="43">
        <v>65.128129999999999</v>
      </c>
      <c r="D265" s="43">
        <v>12.7262</v>
      </c>
      <c r="E265" s="43">
        <v>34.92</v>
      </c>
      <c r="F265" s="43">
        <v>25.2104</v>
      </c>
      <c r="G265" s="43">
        <v>31.964960000000001</v>
      </c>
      <c r="H265" s="43">
        <v>25.18966</v>
      </c>
      <c r="I265" s="43">
        <v>14.54302</v>
      </c>
      <c r="J265" s="43">
        <v>56.929900000000004</v>
      </c>
      <c r="K265" s="43">
        <v>30.458600000000001</v>
      </c>
      <c r="L265" s="43">
        <v>8.5023300000000006</v>
      </c>
      <c r="M265" s="43">
        <v>10.762409999999999</v>
      </c>
      <c r="N265" s="43">
        <v>17.229800000000001</v>
      </c>
      <c r="O265" s="43">
        <v>15.764559999999999</v>
      </c>
      <c r="P265" s="44">
        <v>21.073029999999999</v>
      </c>
    </row>
    <row r="266" spans="1:16" x14ac:dyDescent="0.45">
      <c r="A266" s="47">
        <v>40550</v>
      </c>
      <c r="B266" s="43">
        <v>20.69294</v>
      </c>
      <c r="C266" s="43">
        <v>61.357550000000003</v>
      </c>
      <c r="D266" s="43">
        <v>12.7262</v>
      </c>
      <c r="E266" s="43">
        <v>34.299999999999997</v>
      </c>
      <c r="F266" s="43">
        <v>24.796530000000001</v>
      </c>
      <c r="G266" s="43">
        <v>31.502980000000001</v>
      </c>
      <c r="H266" s="43">
        <v>24.727129999999999</v>
      </c>
      <c r="I266" s="43">
        <v>13.551450000000001</v>
      </c>
      <c r="J266" s="43">
        <v>54.510199999999998</v>
      </c>
      <c r="K266" s="43">
        <v>29.883199999999999</v>
      </c>
      <c r="L266" s="43">
        <v>8.3083600000000004</v>
      </c>
      <c r="M266" s="43">
        <v>10.259919999999999</v>
      </c>
      <c r="N266" s="43">
        <v>16.545179999999998</v>
      </c>
      <c r="O266" s="43">
        <v>15.09244</v>
      </c>
      <c r="P266" s="44">
        <v>21.073029999999999</v>
      </c>
    </row>
    <row r="267" spans="1:16" x14ac:dyDescent="0.45">
      <c r="A267" s="47">
        <v>40553</v>
      </c>
      <c r="B267" s="43">
        <v>20.725370000000002</v>
      </c>
      <c r="C267" s="43">
        <v>59.506540000000001</v>
      </c>
      <c r="D267" s="43">
        <v>12.9663</v>
      </c>
      <c r="E267" s="43">
        <v>34.49</v>
      </c>
      <c r="F267" s="43">
        <v>25.059940000000001</v>
      </c>
      <c r="G267" s="43">
        <v>31.839040000000001</v>
      </c>
      <c r="H267" s="43">
        <v>25.357939999999999</v>
      </c>
      <c r="I267" s="43">
        <v>12.74014</v>
      </c>
      <c r="J267" s="43">
        <v>53.300400000000003</v>
      </c>
      <c r="K267" s="43">
        <v>30.190100000000001</v>
      </c>
      <c r="L267" s="43">
        <v>8.3407</v>
      </c>
      <c r="M267" s="43">
        <v>10.929970000000001</v>
      </c>
      <c r="N267" s="43">
        <v>16.431100000000001</v>
      </c>
      <c r="O267" s="43">
        <v>15.55071</v>
      </c>
      <c r="P267" s="44">
        <v>20.962890000000002</v>
      </c>
    </row>
    <row r="268" spans="1:16" x14ac:dyDescent="0.45">
      <c r="A268" s="47">
        <v>40554</v>
      </c>
      <c r="B268" s="43">
        <v>22.150220000000001</v>
      </c>
      <c r="C268" s="43">
        <v>59.437980000000003</v>
      </c>
      <c r="D268" s="43">
        <v>13.3264</v>
      </c>
      <c r="E268" s="43">
        <v>34.54</v>
      </c>
      <c r="F268" s="43">
        <v>25.28567</v>
      </c>
      <c r="G268" s="43">
        <v>32.04898</v>
      </c>
      <c r="H268" s="43">
        <v>25.442039999999999</v>
      </c>
      <c r="I268" s="43">
        <v>13.040649999999999</v>
      </c>
      <c r="J268" s="43">
        <v>53.905299999999997</v>
      </c>
      <c r="K268" s="43">
        <v>30.612100000000002</v>
      </c>
      <c r="L268" s="43">
        <v>8.4376800000000003</v>
      </c>
      <c r="M268" s="43">
        <v>10.8881</v>
      </c>
      <c r="N268" s="43">
        <v>17.419969999999999</v>
      </c>
      <c r="O268" s="43">
        <v>15.88673</v>
      </c>
      <c r="P268" s="44">
        <v>21.146450000000002</v>
      </c>
    </row>
    <row r="269" spans="1:16" x14ac:dyDescent="0.45">
      <c r="A269" s="47">
        <v>40555</v>
      </c>
      <c r="B269" s="43">
        <v>22.603580000000001</v>
      </c>
      <c r="C269" s="43">
        <v>60.192100000000003</v>
      </c>
      <c r="D269" s="43">
        <v>13.3264</v>
      </c>
      <c r="E269" s="43">
        <v>34.68</v>
      </c>
      <c r="F269" s="43">
        <v>25.13513</v>
      </c>
      <c r="G269" s="43">
        <v>33.60313</v>
      </c>
      <c r="H269" s="43">
        <v>25.526140000000002</v>
      </c>
      <c r="I269" s="43">
        <v>13.551450000000001</v>
      </c>
      <c r="J269" s="43">
        <v>53.434800000000003</v>
      </c>
      <c r="K269" s="43">
        <v>31.072399999999998</v>
      </c>
      <c r="L269" s="43">
        <v>8.6639800000000005</v>
      </c>
      <c r="M269" s="43">
        <v>11.39059</v>
      </c>
      <c r="N269" s="43">
        <v>17.952500000000001</v>
      </c>
      <c r="O269" s="43">
        <v>16.131150000000002</v>
      </c>
      <c r="P269" s="44">
        <v>21.073029999999999</v>
      </c>
    </row>
    <row r="270" spans="1:16" x14ac:dyDescent="0.45">
      <c r="A270" s="47">
        <v>40556</v>
      </c>
      <c r="B270" s="43">
        <v>22.474019999999999</v>
      </c>
      <c r="C270" s="43">
        <v>59.163760000000003</v>
      </c>
      <c r="D270" s="43">
        <v>13.2864</v>
      </c>
      <c r="E270" s="43">
        <v>34.35</v>
      </c>
      <c r="F270" s="43">
        <v>25.28567</v>
      </c>
      <c r="G270" s="43">
        <v>33.813160000000003</v>
      </c>
      <c r="H270" s="43">
        <v>26.241050000000001</v>
      </c>
      <c r="I270" s="43">
        <v>13.10073</v>
      </c>
      <c r="J270" s="43">
        <v>51.821599999999997</v>
      </c>
      <c r="K270" s="43">
        <v>30.9573</v>
      </c>
      <c r="L270" s="43">
        <v>8.7286300000000008</v>
      </c>
      <c r="M270" s="43">
        <v>11.1393</v>
      </c>
      <c r="N270" s="43">
        <v>18.028590000000001</v>
      </c>
      <c r="O270" s="43">
        <v>16.10059</v>
      </c>
      <c r="P270" s="44">
        <v>21.073029999999999</v>
      </c>
    </row>
    <row r="271" spans="1:16" x14ac:dyDescent="0.45">
      <c r="A271" s="47">
        <v>40557</v>
      </c>
      <c r="B271" s="43">
        <v>22.603580000000001</v>
      </c>
      <c r="C271" s="43">
        <v>59.849319999999999</v>
      </c>
      <c r="D271" s="43">
        <v>13.3665</v>
      </c>
      <c r="E271" s="43">
        <v>34.729999999999997</v>
      </c>
      <c r="F271" s="43">
        <v>25.13513</v>
      </c>
      <c r="G271" s="43">
        <v>33.351179999999999</v>
      </c>
      <c r="H271" s="43">
        <v>25.14761</v>
      </c>
      <c r="I271" s="43">
        <v>12.86031</v>
      </c>
      <c r="J271" s="43">
        <v>52.157800000000002</v>
      </c>
      <c r="K271" s="43">
        <v>30.918900000000001</v>
      </c>
      <c r="L271" s="43">
        <v>8.6963100000000004</v>
      </c>
      <c r="M271" s="43">
        <v>11.1393</v>
      </c>
      <c r="N271" s="43">
        <v>17.724319999999999</v>
      </c>
      <c r="O271" s="43">
        <v>16.008980000000001</v>
      </c>
      <c r="P271" s="44">
        <v>20.816040000000001</v>
      </c>
    </row>
    <row r="272" spans="1:16" x14ac:dyDescent="0.45">
      <c r="A272" s="47">
        <v>40560</v>
      </c>
      <c r="B272" s="43">
        <v>22.927379999999999</v>
      </c>
      <c r="C272" s="43">
        <v>58.135420000000003</v>
      </c>
      <c r="D272" s="43">
        <v>13.806699999999999</v>
      </c>
      <c r="E272" s="43">
        <v>33.83</v>
      </c>
      <c r="F272" s="43">
        <v>24.984670000000001</v>
      </c>
      <c r="G272" s="43">
        <v>33.309179999999998</v>
      </c>
      <c r="H272" s="43">
        <v>24.054259999999999</v>
      </c>
      <c r="I272" s="43">
        <v>12.109170000000001</v>
      </c>
      <c r="J272" s="43">
        <v>51.216700000000003</v>
      </c>
      <c r="K272" s="43">
        <v>30.458600000000001</v>
      </c>
      <c r="L272" s="43">
        <v>8.7609600000000007</v>
      </c>
      <c r="M272" s="43">
        <v>10.80428</v>
      </c>
      <c r="N272" s="43">
        <v>17.419969999999999</v>
      </c>
      <c r="O272" s="43">
        <v>15.79513</v>
      </c>
      <c r="P272" s="44">
        <v>20.412199999999999</v>
      </c>
    </row>
    <row r="273" spans="1:16" x14ac:dyDescent="0.45">
      <c r="A273" s="47">
        <v>40561</v>
      </c>
      <c r="B273" s="43">
        <v>23.31596</v>
      </c>
      <c r="C273" s="43">
        <v>57.586970000000001</v>
      </c>
      <c r="D273" s="43">
        <v>14.2469</v>
      </c>
      <c r="E273" s="43">
        <v>34.07</v>
      </c>
      <c r="F273" s="43">
        <v>24.909400000000002</v>
      </c>
      <c r="G273" s="43">
        <v>33.183160000000001</v>
      </c>
      <c r="H273" s="43">
        <v>24.853269999999998</v>
      </c>
      <c r="I273" s="43">
        <v>12.589930000000001</v>
      </c>
      <c r="J273" s="43">
        <v>52.695500000000003</v>
      </c>
      <c r="K273" s="43">
        <v>30.842199999999998</v>
      </c>
      <c r="L273" s="43">
        <v>8.9225700000000003</v>
      </c>
      <c r="M273" s="43">
        <v>10.762409999999999</v>
      </c>
      <c r="N273" s="43">
        <v>17.610150000000001</v>
      </c>
      <c r="O273" s="43">
        <v>16.497820000000001</v>
      </c>
      <c r="P273" s="44">
        <v>20.045079999999999</v>
      </c>
    </row>
    <row r="274" spans="1:16" x14ac:dyDescent="0.45">
      <c r="A274" s="47">
        <v>40562</v>
      </c>
      <c r="B274" s="43">
        <v>24.352309999999999</v>
      </c>
      <c r="C274" s="43">
        <v>59.575099999999999</v>
      </c>
      <c r="D274" s="43">
        <v>14.446999999999999</v>
      </c>
      <c r="E274" s="43">
        <v>33.97</v>
      </c>
      <c r="F274" s="43">
        <v>25.059940000000001</v>
      </c>
      <c r="G274" s="43">
        <v>33.351179999999999</v>
      </c>
      <c r="H274" s="43">
        <v>24.979420000000001</v>
      </c>
      <c r="I274" s="43">
        <v>12.800230000000001</v>
      </c>
      <c r="J274" s="43">
        <v>52.695500000000003</v>
      </c>
      <c r="K274" s="43">
        <v>30.842199999999998</v>
      </c>
      <c r="L274" s="43">
        <v>8.9549199999999995</v>
      </c>
      <c r="M274" s="43">
        <v>10.8881</v>
      </c>
      <c r="N274" s="43">
        <v>17.648240000000001</v>
      </c>
      <c r="O274" s="43">
        <v>16.650549999999999</v>
      </c>
      <c r="P274" s="44">
        <v>20.33878</v>
      </c>
    </row>
    <row r="275" spans="1:16" x14ac:dyDescent="0.45">
      <c r="A275" s="47">
        <v>40563</v>
      </c>
      <c r="B275" s="43">
        <v>24.0932</v>
      </c>
      <c r="C275" s="43">
        <v>58.958089999999999</v>
      </c>
      <c r="D275" s="43">
        <v>14.126799999999999</v>
      </c>
      <c r="E275" s="43">
        <v>33.880000000000003</v>
      </c>
      <c r="F275" s="43">
        <v>24.94699</v>
      </c>
      <c r="G275" s="43">
        <v>33.015129999999999</v>
      </c>
      <c r="H275" s="43">
        <v>24.769169999999999</v>
      </c>
      <c r="I275" s="43">
        <v>13.311030000000001</v>
      </c>
      <c r="J275" s="43">
        <v>51.485599999999998</v>
      </c>
      <c r="K275" s="43">
        <v>30.688800000000001</v>
      </c>
      <c r="L275" s="43">
        <v>8.9872599999999991</v>
      </c>
      <c r="M275" s="43">
        <v>10.8881</v>
      </c>
      <c r="N275" s="43">
        <v>17.45806</v>
      </c>
      <c r="O275" s="43">
        <v>16.436689999999999</v>
      </c>
      <c r="P275" s="44">
        <v>20.228639999999999</v>
      </c>
    </row>
    <row r="276" spans="1:16" x14ac:dyDescent="0.45">
      <c r="A276" s="47">
        <v>40564</v>
      </c>
      <c r="B276" s="43">
        <v>23.704619999999998</v>
      </c>
      <c r="C276" s="43">
        <v>59.095199999999998</v>
      </c>
      <c r="D276" s="43">
        <v>14.0068</v>
      </c>
      <c r="E276" s="43">
        <v>33.6</v>
      </c>
      <c r="F276" s="43">
        <v>24.909400000000002</v>
      </c>
      <c r="G276" s="43">
        <v>32.637070000000001</v>
      </c>
      <c r="H276" s="43">
        <v>24.306550000000001</v>
      </c>
      <c r="I276" s="43">
        <v>13.49137</v>
      </c>
      <c r="J276" s="43">
        <v>51.552799999999998</v>
      </c>
      <c r="K276" s="43">
        <v>30.688800000000001</v>
      </c>
      <c r="L276" s="43">
        <v>8.8256099999999993</v>
      </c>
      <c r="M276" s="43">
        <v>10.80428</v>
      </c>
      <c r="N276" s="43">
        <v>17.039619999999999</v>
      </c>
      <c r="O276" s="43">
        <v>16.46726</v>
      </c>
      <c r="P276" s="44">
        <v>20.081790000000002</v>
      </c>
    </row>
    <row r="277" spans="1:16" x14ac:dyDescent="0.45">
      <c r="A277" s="47">
        <v>40567</v>
      </c>
      <c r="B277" s="43">
        <v>23.251270000000002</v>
      </c>
      <c r="C277" s="43">
        <v>56.695740000000001</v>
      </c>
      <c r="D277" s="43">
        <v>13.9267</v>
      </c>
      <c r="E277" s="43">
        <v>33.880000000000003</v>
      </c>
      <c r="F277" s="43">
        <v>24.834129999999998</v>
      </c>
      <c r="G277" s="43">
        <v>32.763089999999998</v>
      </c>
      <c r="H277" s="43">
        <v>24.01221</v>
      </c>
      <c r="I277" s="43">
        <v>13.190860000000001</v>
      </c>
      <c r="J277" s="43">
        <v>51.149500000000003</v>
      </c>
      <c r="K277" s="43">
        <v>30.688800000000001</v>
      </c>
      <c r="L277" s="43">
        <v>8.8579600000000003</v>
      </c>
      <c r="M277" s="43">
        <v>10.762409999999999</v>
      </c>
      <c r="N277" s="43">
        <v>17.039619999999999</v>
      </c>
      <c r="O277" s="43">
        <v>16.37557</v>
      </c>
      <c r="P277" s="44">
        <v>19.861509999999999</v>
      </c>
    </row>
    <row r="278" spans="1:16" x14ac:dyDescent="0.45">
      <c r="A278" s="47">
        <v>40568</v>
      </c>
      <c r="B278" s="43">
        <v>23.445509999999999</v>
      </c>
      <c r="C278" s="43">
        <v>56.695740000000001</v>
      </c>
      <c r="D278" s="43">
        <v>13.9267</v>
      </c>
      <c r="E278" s="43">
        <v>33.65</v>
      </c>
      <c r="F278" s="43">
        <v>24.758859999999999</v>
      </c>
      <c r="G278" s="43">
        <v>32.763089999999998</v>
      </c>
      <c r="H278" s="43">
        <v>25.063510000000001</v>
      </c>
      <c r="I278" s="43">
        <v>13.280989999999999</v>
      </c>
      <c r="J278" s="43">
        <v>52.359400000000001</v>
      </c>
      <c r="K278" s="43">
        <v>30.880600000000001</v>
      </c>
      <c r="L278" s="43">
        <v>8.9549199999999995</v>
      </c>
      <c r="M278" s="43">
        <v>11.18125</v>
      </c>
      <c r="N278" s="43">
        <v>17.572150000000001</v>
      </c>
      <c r="O278" s="43">
        <v>16.436689999999999</v>
      </c>
      <c r="P278" s="44">
        <v>19.714659999999999</v>
      </c>
    </row>
    <row r="279" spans="1:16" x14ac:dyDescent="0.45">
      <c r="A279" s="47">
        <v>40569</v>
      </c>
      <c r="B279" s="43">
        <v>23.510290000000001</v>
      </c>
      <c r="C279" s="43">
        <v>57.038519999999998</v>
      </c>
      <c r="D279" s="43">
        <v>13.9267</v>
      </c>
      <c r="E279" s="43">
        <v>33.32</v>
      </c>
      <c r="F279" s="43">
        <v>25.13513</v>
      </c>
      <c r="G279" s="43">
        <v>32.595059999999997</v>
      </c>
      <c r="H279" s="43">
        <v>25.2318</v>
      </c>
      <c r="I279" s="43">
        <v>13.10073</v>
      </c>
      <c r="J279" s="43">
        <v>52.023299999999999</v>
      </c>
      <c r="K279" s="43">
        <v>30.880600000000001</v>
      </c>
      <c r="L279" s="43">
        <v>9.2135300000000004</v>
      </c>
      <c r="M279" s="43">
        <v>11.055569999999999</v>
      </c>
      <c r="N279" s="43">
        <v>17.724319999999999</v>
      </c>
      <c r="O279" s="43">
        <v>16.558859999999999</v>
      </c>
      <c r="P279" s="44">
        <v>19.751380000000001</v>
      </c>
    </row>
    <row r="280" spans="1:16" x14ac:dyDescent="0.45">
      <c r="A280" s="47">
        <v>40570</v>
      </c>
      <c r="B280" s="43">
        <v>24.02843</v>
      </c>
      <c r="C280" s="43">
        <v>57.381300000000003</v>
      </c>
      <c r="D280" s="43">
        <v>14.407</v>
      </c>
      <c r="E280" s="43">
        <v>33.270000000000003</v>
      </c>
      <c r="F280" s="43">
        <v>25.2104</v>
      </c>
      <c r="G280" s="43">
        <v>32.80509</v>
      </c>
      <c r="H280" s="43">
        <v>25.652280000000001</v>
      </c>
      <c r="I280" s="43">
        <v>13.01061</v>
      </c>
      <c r="J280" s="43">
        <v>50.410200000000003</v>
      </c>
      <c r="K280" s="43">
        <v>30.9956</v>
      </c>
      <c r="L280" s="43">
        <v>9.1165699999999994</v>
      </c>
      <c r="M280" s="43">
        <v>11.0137</v>
      </c>
      <c r="N280" s="43">
        <v>17.83841</v>
      </c>
      <c r="O280" s="43">
        <v>16.436689999999999</v>
      </c>
      <c r="P280" s="44">
        <v>19.898230000000002</v>
      </c>
    </row>
    <row r="281" spans="1:16" x14ac:dyDescent="0.45">
      <c r="A281" s="47">
        <v>40571</v>
      </c>
      <c r="B281" s="43">
        <v>23.704619999999998</v>
      </c>
      <c r="C281" s="43">
        <v>56.764299999999999</v>
      </c>
      <c r="D281" s="43">
        <v>14.487</v>
      </c>
      <c r="E281" s="43">
        <v>32.799999999999997</v>
      </c>
      <c r="F281" s="43">
        <v>25.436129999999999</v>
      </c>
      <c r="G281" s="43">
        <v>32.679079999999999</v>
      </c>
      <c r="H281" s="43">
        <v>25.652280000000001</v>
      </c>
      <c r="I281" s="43">
        <v>12.800230000000001</v>
      </c>
      <c r="J281" s="43">
        <v>48.729900000000001</v>
      </c>
      <c r="K281" s="43">
        <v>31.1492</v>
      </c>
      <c r="L281" s="43">
        <v>9.1165699999999994</v>
      </c>
      <c r="M281" s="43">
        <v>11.18125</v>
      </c>
      <c r="N281" s="43">
        <v>17.91441</v>
      </c>
      <c r="O281" s="43">
        <v>16.314440000000001</v>
      </c>
      <c r="P281" s="44">
        <v>19.531099999999999</v>
      </c>
    </row>
    <row r="282" spans="1:16" x14ac:dyDescent="0.45">
      <c r="A282" s="47">
        <v>40582</v>
      </c>
      <c r="B282" s="43">
        <v>23.12171</v>
      </c>
      <c r="C282" s="43">
        <v>57.312750000000001</v>
      </c>
      <c r="D282" s="43">
        <v>14.0868</v>
      </c>
      <c r="E282" s="43">
        <v>32.28</v>
      </c>
      <c r="F282" s="43">
        <v>26.263960000000001</v>
      </c>
      <c r="G282" s="43">
        <v>32.553060000000002</v>
      </c>
      <c r="H282" s="43">
        <v>25.14761</v>
      </c>
      <c r="I282" s="43">
        <v>13.2209</v>
      </c>
      <c r="J282" s="43">
        <v>47.788800000000002</v>
      </c>
      <c r="K282" s="43">
        <v>31.1875</v>
      </c>
      <c r="L282" s="43">
        <v>9.0196100000000001</v>
      </c>
      <c r="M282" s="43">
        <v>10.971830000000001</v>
      </c>
      <c r="N282" s="43">
        <v>18.180679999999999</v>
      </c>
      <c r="O282" s="43">
        <v>16.436689999999999</v>
      </c>
      <c r="P282" s="44">
        <v>19.714659999999999</v>
      </c>
    </row>
    <row r="283" spans="1:16" x14ac:dyDescent="0.45">
      <c r="A283" s="47">
        <v>40583</v>
      </c>
      <c r="B283" s="43">
        <v>23.056930000000001</v>
      </c>
      <c r="C283" s="43">
        <v>59.232320000000001</v>
      </c>
      <c r="D283" s="43">
        <v>13.6066</v>
      </c>
      <c r="E283" s="43">
        <v>32.61</v>
      </c>
      <c r="F283" s="43">
        <v>26.07582</v>
      </c>
      <c r="G283" s="43">
        <v>31.04091</v>
      </c>
      <c r="H283" s="43">
        <v>25.399989999999999</v>
      </c>
      <c r="I283" s="43">
        <v>13.25095</v>
      </c>
      <c r="J283" s="43">
        <v>47.923299999999998</v>
      </c>
      <c r="K283" s="43">
        <v>30.7271</v>
      </c>
      <c r="L283" s="43">
        <v>8.8256099999999993</v>
      </c>
      <c r="M283" s="43">
        <v>11.055569999999999</v>
      </c>
      <c r="N283" s="43">
        <v>17.724319999999999</v>
      </c>
      <c r="O283" s="43">
        <v>16.07002</v>
      </c>
      <c r="P283" s="44">
        <v>19.751380000000001</v>
      </c>
    </row>
    <row r="284" spans="1:16" x14ac:dyDescent="0.45">
      <c r="A284" s="47">
        <v>40584</v>
      </c>
      <c r="B284" s="43">
        <v>22.085439999999998</v>
      </c>
      <c r="C284" s="43">
        <v>59.232320000000001</v>
      </c>
      <c r="D284" s="43">
        <v>13.3264</v>
      </c>
      <c r="E284" s="43">
        <v>33.08</v>
      </c>
      <c r="F284" s="43">
        <v>25.586680000000001</v>
      </c>
      <c r="G284" s="43">
        <v>30.956900000000001</v>
      </c>
      <c r="H284" s="43">
        <v>24.937370000000001</v>
      </c>
      <c r="I284" s="43">
        <v>12.980560000000001</v>
      </c>
      <c r="J284" s="43">
        <v>47.654400000000003</v>
      </c>
      <c r="K284" s="43">
        <v>29.653099999999998</v>
      </c>
      <c r="L284" s="43">
        <v>8.4053500000000003</v>
      </c>
      <c r="M284" s="43">
        <v>10.720549999999999</v>
      </c>
      <c r="N284" s="43">
        <v>16.507180000000002</v>
      </c>
      <c r="O284" s="43">
        <v>15.33685</v>
      </c>
      <c r="P284" s="44">
        <v>19.420960000000001</v>
      </c>
    </row>
    <row r="285" spans="1:16" x14ac:dyDescent="0.45">
      <c r="A285" s="47">
        <v>40585</v>
      </c>
      <c r="B285" s="43">
        <v>21.437750000000001</v>
      </c>
      <c r="C285" s="43">
        <v>56.901409999999998</v>
      </c>
      <c r="D285" s="43">
        <v>12.9663</v>
      </c>
      <c r="E285" s="43">
        <v>32.369999999999997</v>
      </c>
      <c r="F285" s="43">
        <v>25.172809999999998</v>
      </c>
      <c r="G285" s="43">
        <v>30.284890000000001</v>
      </c>
      <c r="H285" s="43">
        <v>23.633780000000002</v>
      </c>
      <c r="I285" s="43">
        <v>12.680059999999999</v>
      </c>
      <c r="J285" s="43">
        <v>46.982300000000002</v>
      </c>
      <c r="K285" s="43">
        <v>29.154299999999999</v>
      </c>
      <c r="L285" s="43">
        <v>7.95275</v>
      </c>
      <c r="M285" s="43">
        <v>10.0505</v>
      </c>
      <c r="N285" s="43">
        <v>15.670389999999999</v>
      </c>
      <c r="O285" s="43">
        <v>14.63416</v>
      </c>
      <c r="P285" s="44">
        <v>19.017119999999998</v>
      </c>
    </row>
    <row r="286" spans="1:16" x14ac:dyDescent="0.45">
      <c r="A286" s="47">
        <v>40588</v>
      </c>
      <c r="B286" s="43">
        <v>22.538799999999998</v>
      </c>
      <c r="C286" s="43">
        <v>56.901409999999998</v>
      </c>
      <c r="D286" s="43">
        <v>13.126300000000001</v>
      </c>
      <c r="E286" s="43">
        <v>32.369999999999997</v>
      </c>
      <c r="F286" s="43">
        <v>25.28567</v>
      </c>
      <c r="G286" s="43">
        <v>30.536829999999998</v>
      </c>
      <c r="H286" s="43">
        <v>24.895320000000002</v>
      </c>
      <c r="I286" s="43">
        <v>12.4998</v>
      </c>
      <c r="J286" s="43">
        <v>46.7134</v>
      </c>
      <c r="K286" s="43">
        <v>29.192699999999999</v>
      </c>
      <c r="L286" s="43">
        <v>8.0820699999999999</v>
      </c>
      <c r="M286" s="43">
        <v>10.092449999999999</v>
      </c>
      <c r="N286" s="43">
        <v>15.822570000000001</v>
      </c>
      <c r="O286" s="43">
        <v>14.817460000000001</v>
      </c>
      <c r="P286" s="44">
        <v>18.723420000000001</v>
      </c>
    </row>
    <row r="287" spans="1:16" x14ac:dyDescent="0.45">
      <c r="A287" s="47">
        <v>40589</v>
      </c>
      <c r="B287" s="43">
        <v>22.76548</v>
      </c>
      <c r="C287" s="43">
        <v>55.873080000000002</v>
      </c>
      <c r="D287" s="43">
        <v>12.9663</v>
      </c>
      <c r="E287" s="43">
        <v>32.090000000000003</v>
      </c>
      <c r="F287" s="43">
        <v>25.28567</v>
      </c>
      <c r="G287" s="43">
        <v>30.284890000000001</v>
      </c>
      <c r="H287" s="43">
        <v>24.264500000000002</v>
      </c>
      <c r="I287" s="43">
        <v>12.319459999999999</v>
      </c>
      <c r="J287" s="43">
        <v>46.7134</v>
      </c>
      <c r="K287" s="43">
        <v>29.192699999999999</v>
      </c>
      <c r="L287" s="43">
        <v>8.1143900000000002</v>
      </c>
      <c r="M287" s="43">
        <v>9.8830299999999998</v>
      </c>
      <c r="N287" s="43">
        <v>15.59431</v>
      </c>
      <c r="O287" s="43">
        <v>14.51191</v>
      </c>
      <c r="P287" s="44">
        <v>18.356300000000001</v>
      </c>
    </row>
    <row r="288" spans="1:16" x14ac:dyDescent="0.45">
      <c r="A288" s="47">
        <v>40590</v>
      </c>
      <c r="B288" s="43">
        <v>22.538799999999998</v>
      </c>
      <c r="C288" s="43">
        <v>55.873080000000002</v>
      </c>
      <c r="D288" s="43">
        <v>13.0463</v>
      </c>
      <c r="E288" s="43">
        <v>31.9</v>
      </c>
      <c r="F288" s="43">
        <v>25.2104</v>
      </c>
      <c r="G288" s="43">
        <v>30.452819999999999</v>
      </c>
      <c r="H288" s="43">
        <v>23.759920000000001</v>
      </c>
      <c r="I288" s="43">
        <v>12.229340000000001</v>
      </c>
      <c r="J288" s="43">
        <v>47.049500000000002</v>
      </c>
      <c r="K288" s="43">
        <v>29.231000000000002</v>
      </c>
      <c r="L288" s="43">
        <v>8.2437000000000005</v>
      </c>
      <c r="M288" s="43">
        <v>10.0505</v>
      </c>
      <c r="N288" s="43">
        <v>15.97466</v>
      </c>
      <c r="O288" s="43">
        <v>14.51191</v>
      </c>
      <c r="P288" s="44">
        <v>18.39301</v>
      </c>
    </row>
    <row r="289" spans="1:16" x14ac:dyDescent="0.45">
      <c r="A289" s="47">
        <v>40591</v>
      </c>
      <c r="B289" s="43">
        <v>22.020669999999999</v>
      </c>
      <c r="C289" s="43">
        <v>55.873080000000002</v>
      </c>
      <c r="D289" s="43">
        <v>12.926299999999999</v>
      </c>
      <c r="E289" s="43">
        <v>31.62</v>
      </c>
      <c r="F289" s="43">
        <v>24.909400000000002</v>
      </c>
      <c r="G289" s="43">
        <v>31.082920000000001</v>
      </c>
      <c r="H289" s="43">
        <v>22.876809999999999</v>
      </c>
      <c r="I289" s="43">
        <v>11.95895</v>
      </c>
      <c r="J289" s="43">
        <v>47.049500000000002</v>
      </c>
      <c r="K289" s="43">
        <v>29.0776</v>
      </c>
      <c r="L289" s="43">
        <v>8.0820699999999999</v>
      </c>
      <c r="M289" s="43">
        <v>9.7993000000000006</v>
      </c>
      <c r="N289" s="43">
        <v>15.632389999999999</v>
      </c>
      <c r="O289" s="43">
        <v>14.084199999999999</v>
      </c>
      <c r="P289" s="44">
        <v>18.9437</v>
      </c>
    </row>
    <row r="290" spans="1:16" x14ac:dyDescent="0.45">
      <c r="A290" s="47">
        <v>40592</v>
      </c>
      <c r="B290" s="43">
        <v>22.538799999999998</v>
      </c>
      <c r="C290" s="43">
        <v>58.203980000000001</v>
      </c>
      <c r="D290" s="43">
        <v>13.126300000000001</v>
      </c>
      <c r="E290" s="43">
        <v>32.049999999999997</v>
      </c>
      <c r="F290" s="43">
        <v>25.323270000000001</v>
      </c>
      <c r="G290" s="43">
        <v>31.208939999999998</v>
      </c>
      <c r="H290" s="43">
        <v>23.38139</v>
      </c>
      <c r="I290" s="43">
        <v>12.77018</v>
      </c>
      <c r="J290" s="43">
        <v>47.923299999999998</v>
      </c>
      <c r="K290" s="43">
        <v>29.691400000000002</v>
      </c>
      <c r="L290" s="43">
        <v>8.4053500000000003</v>
      </c>
      <c r="M290" s="43">
        <v>10.34366</v>
      </c>
      <c r="N290" s="43">
        <v>16.278919999999999</v>
      </c>
      <c r="O290" s="43">
        <v>15.061870000000001</v>
      </c>
      <c r="P290" s="44">
        <v>18.76014</v>
      </c>
    </row>
    <row r="291" spans="1:16" x14ac:dyDescent="0.45">
      <c r="A291" s="47">
        <v>40595</v>
      </c>
      <c r="B291" s="43">
        <v>22.506450000000001</v>
      </c>
      <c r="C291" s="43">
        <v>58.135420000000003</v>
      </c>
      <c r="D291" s="43">
        <v>13.0463</v>
      </c>
      <c r="E291" s="43">
        <v>31.9</v>
      </c>
      <c r="F291" s="43">
        <v>25.172809999999998</v>
      </c>
      <c r="G291" s="43">
        <v>31.418970000000002</v>
      </c>
      <c r="H291" s="43">
        <v>23.423439999999999</v>
      </c>
      <c r="I291" s="43">
        <v>12.830270000000001</v>
      </c>
      <c r="J291" s="43">
        <v>47.251100000000001</v>
      </c>
      <c r="K291" s="43">
        <v>29.5764</v>
      </c>
      <c r="L291" s="43">
        <v>8.2760300000000004</v>
      </c>
      <c r="M291" s="43">
        <v>10.17619</v>
      </c>
      <c r="N291" s="43">
        <v>16.240919999999999</v>
      </c>
      <c r="O291" s="43">
        <v>14.970179999999999</v>
      </c>
      <c r="P291" s="44">
        <v>18.466439999999999</v>
      </c>
    </row>
    <row r="292" spans="1:16" x14ac:dyDescent="0.45">
      <c r="A292" s="47">
        <v>40596</v>
      </c>
      <c r="B292" s="43">
        <v>22.117789999999999</v>
      </c>
      <c r="C292" s="43">
        <v>56.215859999999999</v>
      </c>
      <c r="D292" s="43">
        <v>12.7262</v>
      </c>
      <c r="E292" s="43">
        <v>31.9</v>
      </c>
      <c r="F292" s="43">
        <v>24.984670000000001</v>
      </c>
      <c r="G292" s="43">
        <v>30.3689</v>
      </c>
      <c r="H292" s="43">
        <v>22.245989999999999</v>
      </c>
      <c r="I292" s="43">
        <v>12.61997</v>
      </c>
      <c r="J292" s="43">
        <v>46.511800000000001</v>
      </c>
      <c r="K292" s="43">
        <v>29.0776</v>
      </c>
      <c r="L292" s="43">
        <v>8.0497399999999999</v>
      </c>
      <c r="M292" s="43">
        <v>9.9248999999999992</v>
      </c>
      <c r="N292" s="43">
        <v>15.898569999999999</v>
      </c>
      <c r="O292" s="43">
        <v>15.122999999999999</v>
      </c>
      <c r="P292" s="44">
        <v>19.751380000000001</v>
      </c>
    </row>
    <row r="293" spans="1:16" x14ac:dyDescent="0.45">
      <c r="A293" s="47">
        <v>40597</v>
      </c>
      <c r="B293" s="43">
        <v>21.85876</v>
      </c>
      <c r="C293" s="43">
        <v>53.542169999999999</v>
      </c>
      <c r="D293" s="43">
        <v>12.326000000000001</v>
      </c>
      <c r="E293" s="43">
        <v>31.06</v>
      </c>
      <c r="F293" s="43">
        <v>25.248080000000002</v>
      </c>
      <c r="G293" s="43">
        <v>30.074850000000001</v>
      </c>
      <c r="H293" s="43">
        <v>21.573129999999999</v>
      </c>
      <c r="I293" s="43">
        <v>12.319459999999999</v>
      </c>
      <c r="J293" s="43">
        <v>46.0413</v>
      </c>
      <c r="K293" s="43">
        <v>28.8475</v>
      </c>
      <c r="L293" s="43">
        <v>7.98508</v>
      </c>
      <c r="M293" s="43">
        <v>9.7574299999999994</v>
      </c>
      <c r="N293" s="43">
        <v>15.518219999999999</v>
      </c>
      <c r="O293" s="43">
        <v>15.061870000000001</v>
      </c>
      <c r="P293" s="44">
        <v>19.45768</v>
      </c>
    </row>
    <row r="294" spans="1:16" x14ac:dyDescent="0.45">
      <c r="A294" s="47">
        <v>40598</v>
      </c>
      <c r="B294" s="43">
        <v>21.567309999999999</v>
      </c>
      <c r="C294" s="43">
        <v>52.788060000000002</v>
      </c>
      <c r="D294" s="43">
        <v>12.406000000000001</v>
      </c>
      <c r="E294" s="43">
        <v>30.92</v>
      </c>
      <c r="F294" s="43">
        <v>25.28567</v>
      </c>
      <c r="G294" s="43">
        <v>30.074850000000001</v>
      </c>
      <c r="H294" s="43">
        <v>21.657219999999999</v>
      </c>
      <c r="I294" s="43">
        <v>12.559889999999999</v>
      </c>
      <c r="J294" s="43">
        <v>45.302</v>
      </c>
      <c r="K294" s="43">
        <v>28.770800000000001</v>
      </c>
      <c r="L294" s="43">
        <v>7.95275</v>
      </c>
      <c r="M294" s="43">
        <v>9.7993000000000006</v>
      </c>
      <c r="N294" s="43">
        <v>15.70839</v>
      </c>
      <c r="O294" s="43">
        <v>14.93962</v>
      </c>
      <c r="P294" s="44">
        <v>18.649999999999999</v>
      </c>
    </row>
    <row r="295" spans="1:16" x14ac:dyDescent="0.45">
      <c r="A295" s="47">
        <v>40599</v>
      </c>
      <c r="B295" s="43">
        <v>21.567309999999999</v>
      </c>
      <c r="C295" s="43">
        <v>49.497369999999997</v>
      </c>
      <c r="D295" s="43">
        <v>12.326000000000001</v>
      </c>
      <c r="E295" s="43">
        <v>30.45</v>
      </c>
      <c r="F295" s="43">
        <v>25.2104</v>
      </c>
      <c r="G295" s="43">
        <v>30.284890000000001</v>
      </c>
      <c r="H295" s="43">
        <v>22.03575</v>
      </c>
      <c r="I295" s="43">
        <v>12.319459999999999</v>
      </c>
      <c r="J295" s="43">
        <v>43.419899999999998</v>
      </c>
      <c r="K295" s="43">
        <v>28.809100000000001</v>
      </c>
      <c r="L295" s="43">
        <v>7.92042</v>
      </c>
      <c r="M295" s="43">
        <v>9.5480099999999997</v>
      </c>
      <c r="N295" s="43">
        <v>15.40413</v>
      </c>
      <c r="O295" s="43">
        <v>14.75633</v>
      </c>
      <c r="P295" s="44">
        <v>19.09055</v>
      </c>
    </row>
    <row r="296" spans="1:16" x14ac:dyDescent="0.45">
      <c r="A296" s="47">
        <v>40603</v>
      </c>
      <c r="B296" s="43">
        <v>22.053100000000001</v>
      </c>
      <c r="C296" s="43">
        <v>48.263370000000002</v>
      </c>
      <c r="D296" s="43">
        <v>12.646100000000001</v>
      </c>
      <c r="E296" s="43">
        <v>30.59</v>
      </c>
      <c r="F296" s="43">
        <v>25.54908</v>
      </c>
      <c r="G296" s="43">
        <v>31.755030000000001</v>
      </c>
      <c r="H296" s="43">
        <v>23.045010000000001</v>
      </c>
      <c r="I296" s="43">
        <v>12.109170000000001</v>
      </c>
      <c r="J296" s="43">
        <v>43.8904</v>
      </c>
      <c r="K296" s="43">
        <v>28.924199999999999</v>
      </c>
      <c r="L296" s="43">
        <v>8.1790500000000002</v>
      </c>
      <c r="M296" s="43">
        <v>9.7993000000000006</v>
      </c>
      <c r="N296" s="43">
        <v>15.74648</v>
      </c>
      <c r="O296" s="43">
        <v>14.878579999999999</v>
      </c>
      <c r="P296" s="44">
        <v>20.412199999999999</v>
      </c>
    </row>
    <row r="297" spans="1:16" x14ac:dyDescent="0.45">
      <c r="A297" s="47">
        <v>40604</v>
      </c>
      <c r="B297" s="43">
        <v>21.696860000000001</v>
      </c>
      <c r="C297" s="43">
        <v>49.086039999999997</v>
      </c>
      <c r="D297" s="43">
        <v>12.366</v>
      </c>
      <c r="E297" s="43">
        <v>29.83</v>
      </c>
      <c r="F297" s="43">
        <v>25.360949999999999</v>
      </c>
      <c r="G297" s="43">
        <v>31.37697</v>
      </c>
      <c r="H297" s="43">
        <v>22.960909999999998</v>
      </c>
      <c r="I297" s="43">
        <v>12.07912</v>
      </c>
      <c r="J297" s="43">
        <v>43.285499999999999</v>
      </c>
      <c r="K297" s="43">
        <v>28.578900000000001</v>
      </c>
      <c r="L297" s="43">
        <v>8.1790500000000002</v>
      </c>
      <c r="M297" s="43">
        <v>9.6317400000000006</v>
      </c>
      <c r="N297" s="43">
        <v>15.40413</v>
      </c>
      <c r="O297" s="43">
        <v>14.725770000000001</v>
      </c>
      <c r="P297" s="44">
        <v>20.15522</v>
      </c>
    </row>
    <row r="298" spans="1:16" x14ac:dyDescent="0.45">
      <c r="A298" s="47">
        <v>40605</v>
      </c>
      <c r="B298" s="43">
        <v>22.182569999999998</v>
      </c>
      <c r="C298" s="43">
        <v>49.565930000000002</v>
      </c>
      <c r="D298" s="43">
        <v>12.5661</v>
      </c>
      <c r="E298" s="43">
        <v>30.26</v>
      </c>
      <c r="F298" s="43">
        <v>25.737220000000001</v>
      </c>
      <c r="G298" s="43">
        <v>32.259010000000004</v>
      </c>
      <c r="H298" s="43">
        <v>22.75067</v>
      </c>
      <c r="I298" s="43">
        <v>12.04908</v>
      </c>
      <c r="J298" s="43">
        <v>43.352699999999999</v>
      </c>
      <c r="K298" s="43">
        <v>28.809100000000001</v>
      </c>
      <c r="L298" s="43">
        <v>8.4053500000000003</v>
      </c>
      <c r="M298" s="43">
        <v>9.8411600000000004</v>
      </c>
      <c r="N298" s="43">
        <v>15.670389999999999</v>
      </c>
      <c r="O298" s="43">
        <v>15.061870000000001</v>
      </c>
      <c r="P298" s="44">
        <v>20.00836</v>
      </c>
    </row>
    <row r="299" spans="1:16" x14ac:dyDescent="0.45">
      <c r="A299" s="47">
        <v>40606</v>
      </c>
      <c r="B299" s="43">
        <v>22.474019999999999</v>
      </c>
      <c r="C299" s="43">
        <v>47.4407</v>
      </c>
      <c r="D299" s="43">
        <v>12.7262</v>
      </c>
      <c r="E299" s="43">
        <v>30.16</v>
      </c>
      <c r="F299" s="43">
        <v>25.586680000000001</v>
      </c>
      <c r="G299" s="43">
        <v>31.839040000000001</v>
      </c>
      <c r="H299" s="43">
        <v>22.540330000000001</v>
      </c>
      <c r="I299" s="43">
        <v>11.237769999999999</v>
      </c>
      <c r="J299" s="43">
        <v>41.605200000000004</v>
      </c>
      <c r="K299" s="43">
        <v>29.039300000000001</v>
      </c>
      <c r="L299" s="43">
        <v>8.3730200000000004</v>
      </c>
      <c r="M299" s="43">
        <v>9.9248999999999992</v>
      </c>
      <c r="N299" s="43">
        <v>15.670389999999999</v>
      </c>
      <c r="O299" s="43">
        <v>15.18404</v>
      </c>
      <c r="P299" s="44">
        <v>20.191929999999999</v>
      </c>
    </row>
    <row r="300" spans="1:16" x14ac:dyDescent="0.45">
      <c r="A300" s="47">
        <v>40609</v>
      </c>
      <c r="B300" s="43">
        <v>22.053100000000001</v>
      </c>
      <c r="C300" s="43">
        <v>45.658239999999999</v>
      </c>
      <c r="D300" s="43">
        <v>12.486000000000001</v>
      </c>
      <c r="E300" s="43">
        <v>29.97</v>
      </c>
      <c r="F300" s="43">
        <v>25.586680000000001</v>
      </c>
      <c r="G300" s="43">
        <v>32.511049999999997</v>
      </c>
      <c r="H300" s="43">
        <v>21.44698</v>
      </c>
      <c r="I300" s="43">
        <v>10.907299999999999</v>
      </c>
      <c r="J300" s="43">
        <v>40.1937</v>
      </c>
      <c r="K300" s="43">
        <v>29.039300000000001</v>
      </c>
      <c r="L300" s="43">
        <v>8.3730200000000004</v>
      </c>
      <c r="M300" s="43">
        <v>9.9667700000000004</v>
      </c>
      <c r="N300" s="43">
        <v>15.898569999999999</v>
      </c>
      <c r="O300" s="43">
        <v>15.214600000000001</v>
      </c>
      <c r="P300" s="44">
        <v>19.677949999999999</v>
      </c>
    </row>
    <row r="301" spans="1:16" x14ac:dyDescent="0.45">
      <c r="A301" s="47">
        <v>40610</v>
      </c>
      <c r="B301" s="43">
        <v>22.247340000000001</v>
      </c>
      <c r="C301" s="43">
        <v>47.30359</v>
      </c>
      <c r="D301" s="43">
        <v>12.406000000000001</v>
      </c>
      <c r="E301" s="43">
        <v>30.3</v>
      </c>
      <c r="F301" s="43">
        <v>25.511410000000001</v>
      </c>
      <c r="G301" s="43">
        <v>32.04898</v>
      </c>
      <c r="H301" s="43">
        <v>20.85821</v>
      </c>
      <c r="I301" s="43">
        <v>10.99743</v>
      </c>
      <c r="J301" s="43">
        <v>41.537999999999997</v>
      </c>
      <c r="K301" s="43">
        <v>28.8475</v>
      </c>
      <c r="L301" s="43">
        <v>8.4376800000000003</v>
      </c>
      <c r="M301" s="43">
        <v>9.9248999999999992</v>
      </c>
      <c r="N301" s="43">
        <v>15.822570000000001</v>
      </c>
      <c r="O301" s="43">
        <v>15.122999999999999</v>
      </c>
      <c r="P301" s="44">
        <v>19.494389999999999</v>
      </c>
    </row>
    <row r="302" spans="1:16" x14ac:dyDescent="0.45">
      <c r="A302" s="47">
        <v>40611</v>
      </c>
      <c r="B302" s="43">
        <v>21.1463</v>
      </c>
      <c r="C302" s="43">
        <v>47.372140000000002</v>
      </c>
      <c r="D302" s="43">
        <v>12.1259</v>
      </c>
      <c r="E302" s="43">
        <v>31.29</v>
      </c>
      <c r="F302" s="43">
        <v>25.436129999999999</v>
      </c>
      <c r="G302" s="43">
        <v>31.92296</v>
      </c>
      <c r="H302" s="43">
        <v>21.026499999999999</v>
      </c>
      <c r="I302" s="43">
        <v>10.93735</v>
      </c>
      <c r="J302" s="43">
        <v>41.134700000000002</v>
      </c>
      <c r="K302" s="43">
        <v>28.8858</v>
      </c>
      <c r="L302" s="43">
        <v>8.6639800000000005</v>
      </c>
      <c r="M302" s="43">
        <v>9.9248999999999992</v>
      </c>
      <c r="N302" s="43">
        <v>15.860569999999999</v>
      </c>
      <c r="O302" s="43">
        <v>14.970179999999999</v>
      </c>
      <c r="P302" s="44">
        <v>19.27411</v>
      </c>
    </row>
    <row r="303" spans="1:16" x14ac:dyDescent="0.45">
      <c r="A303" s="47">
        <v>40612</v>
      </c>
      <c r="B303" s="43">
        <v>20.59582</v>
      </c>
      <c r="C303" s="43">
        <v>48.880369999999999</v>
      </c>
      <c r="D303" s="43">
        <v>11.765700000000001</v>
      </c>
      <c r="E303" s="43">
        <v>31.15</v>
      </c>
      <c r="F303" s="43">
        <v>25.248080000000002</v>
      </c>
      <c r="G303" s="43">
        <v>30.662849999999999</v>
      </c>
      <c r="H303" s="43">
        <v>20.77412</v>
      </c>
      <c r="I303" s="43">
        <v>11.237769999999999</v>
      </c>
      <c r="J303" s="43">
        <v>41.739600000000003</v>
      </c>
      <c r="K303" s="43">
        <v>29.154299999999999</v>
      </c>
      <c r="L303" s="43">
        <v>8.5023300000000006</v>
      </c>
      <c r="M303" s="43">
        <v>9.8411600000000004</v>
      </c>
      <c r="N303" s="43">
        <v>15.898569999999999</v>
      </c>
      <c r="O303" s="43">
        <v>14.93962</v>
      </c>
      <c r="P303" s="44">
        <v>18.9437</v>
      </c>
    </row>
    <row r="304" spans="1:16" x14ac:dyDescent="0.45">
      <c r="A304" s="47">
        <v>40613</v>
      </c>
      <c r="B304" s="43">
        <v>20.69294</v>
      </c>
      <c r="C304" s="43">
        <v>49.223149999999997</v>
      </c>
      <c r="D304" s="43">
        <v>11.8858</v>
      </c>
      <c r="E304" s="43">
        <v>31.15</v>
      </c>
      <c r="F304" s="43">
        <v>25.13513</v>
      </c>
      <c r="G304" s="43">
        <v>30.326899999999998</v>
      </c>
      <c r="H304" s="43">
        <v>21.026499999999999</v>
      </c>
      <c r="I304" s="43">
        <v>11.117599999999999</v>
      </c>
      <c r="J304" s="43">
        <v>41.672400000000003</v>
      </c>
      <c r="K304" s="43">
        <v>29.499600000000001</v>
      </c>
      <c r="L304" s="43">
        <v>8.2760300000000004</v>
      </c>
      <c r="M304" s="43">
        <v>9.67361</v>
      </c>
      <c r="N304" s="43">
        <v>15.55631</v>
      </c>
      <c r="O304" s="43">
        <v>14.90915</v>
      </c>
      <c r="P304" s="44">
        <v>18.723420000000001</v>
      </c>
    </row>
    <row r="305" spans="1:16" x14ac:dyDescent="0.45">
      <c r="A305" s="47">
        <v>40616</v>
      </c>
      <c r="B305" s="43">
        <v>20.59582</v>
      </c>
      <c r="C305" s="43">
        <v>46.618029999999997</v>
      </c>
      <c r="D305" s="43">
        <v>11.685700000000001</v>
      </c>
      <c r="E305" s="43">
        <v>30.3</v>
      </c>
      <c r="F305" s="43">
        <v>25.850090000000002</v>
      </c>
      <c r="G305" s="43">
        <v>30.15887</v>
      </c>
      <c r="H305" s="43">
        <v>20.311579999999999</v>
      </c>
      <c r="I305" s="43">
        <v>10.366379999999999</v>
      </c>
      <c r="J305" s="43">
        <v>41.269100000000002</v>
      </c>
      <c r="K305" s="43">
        <v>29.039300000000001</v>
      </c>
      <c r="L305" s="43">
        <v>8.1143900000000002</v>
      </c>
      <c r="M305" s="43">
        <v>9.0454299999999996</v>
      </c>
      <c r="N305" s="43">
        <v>14.98578</v>
      </c>
      <c r="O305" s="43">
        <v>14.51191</v>
      </c>
      <c r="P305" s="44">
        <v>17.768899999999999</v>
      </c>
    </row>
    <row r="306" spans="1:16" x14ac:dyDescent="0.45">
      <c r="A306" s="47">
        <v>40617</v>
      </c>
      <c r="B306" s="43">
        <v>20.012910000000002</v>
      </c>
      <c r="C306" s="43">
        <v>44.424239999999998</v>
      </c>
      <c r="D306" s="43">
        <v>11.445499999999999</v>
      </c>
      <c r="E306" s="43">
        <v>28.61</v>
      </c>
      <c r="F306" s="43">
        <v>25.850090000000002</v>
      </c>
      <c r="G306" s="43">
        <v>28.730740000000001</v>
      </c>
      <c r="H306" s="43">
        <v>19.218139999999998</v>
      </c>
      <c r="I306" s="43">
        <v>9.7954899999999991</v>
      </c>
      <c r="J306" s="43">
        <v>38.446199999999997</v>
      </c>
      <c r="K306" s="43">
        <v>28.3871</v>
      </c>
      <c r="L306" s="43">
        <v>7.98508</v>
      </c>
      <c r="M306" s="43">
        <v>8.5848099999999992</v>
      </c>
      <c r="N306" s="43">
        <v>14.453250000000001</v>
      </c>
      <c r="O306" s="43">
        <v>14.175890000000001</v>
      </c>
      <c r="P306" s="44">
        <v>16.557379999999998</v>
      </c>
    </row>
    <row r="307" spans="1:16" x14ac:dyDescent="0.45">
      <c r="A307" s="47">
        <v>40618</v>
      </c>
      <c r="B307" s="43">
        <v>20.012910000000002</v>
      </c>
      <c r="C307" s="43">
        <v>46.618029999999997</v>
      </c>
      <c r="D307" s="43">
        <v>11.285500000000001</v>
      </c>
      <c r="E307" s="43">
        <v>29.46</v>
      </c>
      <c r="F307" s="43">
        <v>25.88768</v>
      </c>
      <c r="G307" s="43">
        <v>29.234719999999999</v>
      </c>
      <c r="H307" s="43">
        <v>19.428470000000001</v>
      </c>
      <c r="I307" s="43">
        <v>10.09599</v>
      </c>
      <c r="J307" s="43">
        <v>39.051099999999998</v>
      </c>
      <c r="K307" s="43">
        <v>28.6556</v>
      </c>
      <c r="L307" s="43">
        <v>8.1467200000000002</v>
      </c>
      <c r="M307" s="43">
        <v>9.0035699999999999</v>
      </c>
      <c r="N307" s="43">
        <v>14.719519999999999</v>
      </c>
      <c r="O307" s="43">
        <v>14.45079</v>
      </c>
      <c r="P307" s="44">
        <v>15.67628</v>
      </c>
    </row>
    <row r="308" spans="1:16" x14ac:dyDescent="0.45">
      <c r="A308" s="47">
        <v>40619</v>
      </c>
      <c r="B308" s="43">
        <v>19.591899999999999</v>
      </c>
      <c r="C308" s="43">
        <v>48.263370000000002</v>
      </c>
      <c r="D308" s="43">
        <v>11.5656</v>
      </c>
      <c r="E308" s="43">
        <v>29.79</v>
      </c>
      <c r="F308" s="43">
        <v>25.850090000000002</v>
      </c>
      <c r="G308" s="43">
        <v>28.856760000000001</v>
      </c>
      <c r="H308" s="43">
        <v>19.848960000000002</v>
      </c>
      <c r="I308" s="43">
        <v>10.156079999999999</v>
      </c>
      <c r="J308" s="43">
        <v>40.1265</v>
      </c>
      <c r="K308" s="43">
        <v>28.8858</v>
      </c>
      <c r="L308" s="43">
        <v>8.2113800000000001</v>
      </c>
      <c r="M308" s="43">
        <v>8.9617000000000004</v>
      </c>
      <c r="N308" s="43">
        <v>14.719519999999999</v>
      </c>
      <c r="O308" s="43">
        <v>14.6036</v>
      </c>
      <c r="P308" s="44">
        <v>14.611610000000001</v>
      </c>
    </row>
    <row r="309" spans="1:16" x14ac:dyDescent="0.45">
      <c r="A309" s="47">
        <v>40620</v>
      </c>
      <c r="B309" s="43">
        <v>20.401489999999999</v>
      </c>
      <c r="C309" s="43">
        <v>49.086039999999997</v>
      </c>
      <c r="D309" s="43">
        <v>11.685700000000001</v>
      </c>
      <c r="E309" s="43">
        <v>30.02</v>
      </c>
      <c r="F309" s="43">
        <v>25.962949999999999</v>
      </c>
      <c r="G309" s="43">
        <v>30.15887</v>
      </c>
      <c r="H309" s="43">
        <v>20.14339</v>
      </c>
      <c r="I309" s="43">
        <v>10.787050000000001</v>
      </c>
      <c r="J309" s="43">
        <v>40.7986</v>
      </c>
      <c r="K309" s="43">
        <v>29.039300000000001</v>
      </c>
      <c r="L309" s="43">
        <v>8.3407</v>
      </c>
      <c r="M309" s="43">
        <v>9.0454299999999996</v>
      </c>
      <c r="N309" s="43">
        <v>14.7956</v>
      </c>
      <c r="O309" s="43">
        <v>14.542479999999999</v>
      </c>
      <c r="P309" s="44">
        <v>15.566140000000001</v>
      </c>
    </row>
    <row r="310" spans="1:16" x14ac:dyDescent="0.45">
      <c r="A310" s="47">
        <v>40623</v>
      </c>
      <c r="B310" s="43">
        <v>21.081520000000001</v>
      </c>
      <c r="C310" s="43">
        <v>49.086039999999997</v>
      </c>
      <c r="D310" s="43">
        <v>11.845700000000001</v>
      </c>
      <c r="E310" s="43">
        <v>30.07</v>
      </c>
      <c r="F310" s="43">
        <v>25.81241</v>
      </c>
      <c r="G310" s="43">
        <v>30.116859999999999</v>
      </c>
      <c r="H310" s="43">
        <v>20.353629999999999</v>
      </c>
      <c r="I310" s="43">
        <v>10.93735</v>
      </c>
      <c r="J310" s="43">
        <v>40.865900000000003</v>
      </c>
      <c r="K310" s="43">
        <v>28.924199999999999</v>
      </c>
      <c r="L310" s="43">
        <v>8.3730200000000004</v>
      </c>
      <c r="M310" s="43">
        <v>9.2967200000000005</v>
      </c>
      <c r="N310" s="43">
        <v>15.099869999999999</v>
      </c>
      <c r="O310" s="43">
        <v>14.69529</v>
      </c>
      <c r="P310" s="44">
        <v>15.78642</v>
      </c>
    </row>
    <row r="311" spans="1:16" x14ac:dyDescent="0.45">
      <c r="A311" s="47">
        <v>40624</v>
      </c>
      <c r="B311" s="43">
        <v>21.081520000000001</v>
      </c>
      <c r="C311" s="43">
        <v>49.360259999999997</v>
      </c>
      <c r="D311" s="43">
        <v>11.765700000000001</v>
      </c>
      <c r="E311" s="43">
        <v>30.59</v>
      </c>
      <c r="F311" s="43">
        <v>25.88768</v>
      </c>
      <c r="G311" s="43">
        <v>30.452819999999999</v>
      </c>
      <c r="H311" s="43">
        <v>20.690020000000001</v>
      </c>
      <c r="I311" s="43">
        <v>10.877179999999999</v>
      </c>
      <c r="J311" s="43">
        <v>41.000300000000003</v>
      </c>
      <c r="K311" s="43">
        <v>29.000900000000001</v>
      </c>
      <c r="L311" s="43">
        <v>8.5023300000000006</v>
      </c>
      <c r="M311" s="43">
        <v>9.4224099999999993</v>
      </c>
      <c r="N311" s="43">
        <v>15.32813</v>
      </c>
      <c r="O311" s="43">
        <v>15.03131</v>
      </c>
      <c r="P311" s="44">
        <v>15.93327</v>
      </c>
    </row>
    <row r="312" spans="1:16" x14ac:dyDescent="0.45">
      <c r="A312" s="47">
        <v>40625</v>
      </c>
      <c r="B312" s="43">
        <v>20.725370000000002</v>
      </c>
      <c r="C312" s="43">
        <v>49.908709999999999</v>
      </c>
      <c r="D312" s="43">
        <v>11.8858</v>
      </c>
      <c r="E312" s="43">
        <v>31.2</v>
      </c>
      <c r="F312" s="43">
        <v>26.038219999999999</v>
      </c>
      <c r="G312" s="43">
        <v>31.166930000000001</v>
      </c>
      <c r="H312" s="43">
        <v>20.647970000000001</v>
      </c>
      <c r="I312" s="43">
        <v>10.787050000000001</v>
      </c>
      <c r="J312" s="43">
        <v>41.672400000000003</v>
      </c>
      <c r="K312" s="43">
        <v>29.384499999999999</v>
      </c>
      <c r="L312" s="43">
        <v>8.5023300000000006</v>
      </c>
      <c r="M312" s="43">
        <v>9.4642700000000008</v>
      </c>
      <c r="N312" s="43">
        <v>15.59431</v>
      </c>
      <c r="O312" s="43">
        <v>15.24517</v>
      </c>
      <c r="P312" s="44">
        <v>17.034649999999999</v>
      </c>
    </row>
    <row r="313" spans="1:16" x14ac:dyDescent="0.45">
      <c r="A313" s="47">
        <v>40626</v>
      </c>
      <c r="B313" s="43">
        <v>21.178730000000002</v>
      </c>
      <c r="C313" s="43">
        <v>49.703040000000001</v>
      </c>
      <c r="D313" s="43">
        <v>12.005800000000001</v>
      </c>
      <c r="E313" s="43">
        <v>31.01</v>
      </c>
      <c r="F313" s="43">
        <v>26.038219999999999</v>
      </c>
      <c r="G313" s="43">
        <v>30.91489</v>
      </c>
      <c r="H313" s="43">
        <v>20.942309999999999</v>
      </c>
      <c r="I313" s="43">
        <v>10.907299999999999</v>
      </c>
      <c r="J313" s="43">
        <v>42.210099999999997</v>
      </c>
      <c r="K313" s="43">
        <v>29.384499999999999</v>
      </c>
      <c r="L313" s="43">
        <v>8.4053500000000003</v>
      </c>
      <c r="M313" s="43">
        <v>9.4642700000000008</v>
      </c>
      <c r="N313" s="43">
        <v>15.32813</v>
      </c>
      <c r="O313" s="43">
        <v>15.24517</v>
      </c>
      <c r="P313" s="44">
        <v>16.887789999999999</v>
      </c>
    </row>
    <row r="314" spans="1:16" x14ac:dyDescent="0.45">
      <c r="A314" s="47">
        <v>40627</v>
      </c>
      <c r="B314" s="43">
        <v>21.470179999999999</v>
      </c>
      <c r="C314" s="43">
        <v>48.674700000000001</v>
      </c>
      <c r="D314" s="43">
        <v>12.085800000000001</v>
      </c>
      <c r="E314" s="43">
        <v>31.01</v>
      </c>
      <c r="F314" s="43">
        <v>26.07582</v>
      </c>
      <c r="G314" s="43">
        <v>31.166930000000001</v>
      </c>
      <c r="H314" s="43">
        <v>20.77412</v>
      </c>
      <c r="I314" s="43">
        <v>10.6068</v>
      </c>
      <c r="J314" s="43">
        <v>42.075699999999998</v>
      </c>
      <c r="K314" s="43">
        <v>29.538</v>
      </c>
      <c r="L314" s="43">
        <v>8.5023300000000006</v>
      </c>
      <c r="M314" s="43">
        <v>9.4224099999999993</v>
      </c>
      <c r="N314" s="43">
        <v>15.32813</v>
      </c>
      <c r="O314" s="43">
        <v>15.275729999999999</v>
      </c>
      <c r="P314" s="44">
        <v>16.887789999999999</v>
      </c>
    </row>
    <row r="315" spans="1:16" x14ac:dyDescent="0.45">
      <c r="A315" s="47">
        <v>40630</v>
      </c>
      <c r="B315" s="43">
        <v>20.822500000000002</v>
      </c>
      <c r="C315" s="43">
        <v>47.029359999999997</v>
      </c>
      <c r="D315" s="43">
        <v>12.0458</v>
      </c>
      <c r="E315" s="43">
        <v>30.82</v>
      </c>
      <c r="F315" s="43">
        <v>26.038219999999999</v>
      </c>
      <c r="G315" s="43">
        <v>31.629000000000001</v>
      </c>
      <c r="H315" s="43">
        <v>20.563870000000001</v>
      </c>
      <c r="I315" s="43">
        <v>10.366379999999999</v>
      </c>
      <c r="J315" s="43">
        <v>41.201900000000002</v>
      </c>
      <c r="K315" s="43">
        <v>29.538</v>
      </c>
      <c r="L315" s="43">
        <v>8.5346600000000006</v>
      </c>
      <c r="M315" s="43">
        <v>9.4224099999999993</v>
      </c>
      <c r="N315" s="43">
        <v>15.442220000000001</v>
      </c>
      <c r="O315" s="43">
        <v>15.33685</v>
      </c>
      <c r="P315" s="44">
        <v>17.18149</v>
      </c>
    </row>
    <row r="316" spans="1:16" x14ac:dyDescent="0.45">
      <c r="A316" s="47">
        <v>40631</v>
      </c>
      <c r="B316" s="43">
        <v>20.207239999999999</v>
      </c>
      <c r="C316" s="43">
        <v>47.30359</v>
      </c>
      <c r="D316" s="43">
        <v>12.1259</v>
      </c>
      <c r="E316" s="43">
        <v>30.92</v>
      </c>
      <c r="F316" s="43">
        <v>26.188770000000002</v>
      </c>
      <c r="G316" s="43">
        <v>31.839040000000001</v>
      </c>
      <c r="H316" s="43">
        <v>20.81616</v>
      </c>
      <c r="I316" s="43">
        <v>10.6068</v>
      </c>
      <c r="J316" s="43">
        <v>40.865900000000003</v>
      </c>
      <c r="K316" s="43">
        <v>29.7681</v>
      </c>
      <c r="L316" s="43">
        <v>8.5023300000000006</v>
      </c>
      <c r="M316" s="43">
        <v>9.7993000000000006</v>
      </c>
      <c r="N316" s="43">
        <v>15.40413</v>
      </c>
      <c r="O316" s="43">
        <v>15.214600000000001</v>
      </c>
      <c r="P316" s="44">
        <v>17.401769999999999</v>
      </c>
    </row>
    <row r="317" spans="1:16" x14ac:dyDescent="0.45">
      <c r="A317" s="47">
        <v>40632</v>
      </c>
      <c r="B317" s="43">
        <v>20.563389999999998</v>
      </c>
      <c r="C317" s="43">
        <v>47.4407</v>
      </c>
      <c r="D317" s="43">
        <v>12.1259</v>
      </c>
      <c r="E317" s="43">
        <v>30.92</v>
      </c>
      <c r="F317" s="43">
        <v>26.452089999999998</v>
      </c>
      <c r="G317" s="43">
        <v>31.797029999999999</v>
      </c>
      <c r="H317" s="43">
        <v>20.85821</v>
      </c>
      <c r="I317" s="43">
        <v>10.636839999999999</v>
      </c>
      <c r="J317" s="43">
        <v>41.403599999999997</v>
      </c>
      <c r="K317" s="43">
        <v>29.9983</v>
      </c>
      <c r="L317" s="43">
        <v>8.5346600000000006</v>
      </c>
      <c r="M317" s="43">
        <v>9.7993000000000006</v>
      </c>
      <c r="N317" s="43">
        <v>15.822570000000001</v>
      </c>
      <c r="O317" s="43">
        <v>15.367330000000001</v>
      </c>
      <c r="P317" s="44">
        <v>17.034649999999999</v>
      </c>
    </row>
    <row r="318" spans="1:16" x14ac:dyDescent="0.45">
      <c r="A318" s="47">
        <v>40633</v>
      </c>
      <c r="B318" s="43">
        <v>20.660589999999999</v>
      </c>
      <c r="C318" s="43">
        <v>48.194809999999997</v>
      </c>
      <c r="D318" s="43">
        <v>12.245900000000001</v>
      </c>
      <c r="E318" s="43">
        <v>30.77</v>
      </c>
      <c r="F318" s="43">
        <v>26.452089999999998</v>
      </c>
      <c r="G318" s="43">
        <v>31.25095</v>
      </c>
      <c r="H318" s="43">
        <v>20.563870000000001</v>
      </c>
      <c r="I318" s="43">
        <v>10.666880000000001</v>
      </c>
      <c r="J318" s="43">
        <v>42.142899999999997</v>
      </c>
      <c r="K318" s="43">
        <v>29.959900000000001</v>
      </c>
      <c r="L318" s="43">
        <v>8.5669900000000005</v>
      </c>
      <c r="M318" s="43">
        <v>9.9248999999999992</v>
      </c>
      <c r="N318" s="43">
        <v>16.088740000000001</v>
      </c>
      <c r="O318" s="43">
        <v>15.3979</v>
      </c>
      <c r="P318" s="44">
        <v>17.18149</v>
      </c>
    </row>
    <row r="319" spans="1:16" x14ac:dyDescent="0.45">
      <c r="A319" s="47">
        <v>40634</v>
      </c>
      <c r="B319" s="43">
        <v>20.757719999999999</v>
      </c>
      <c r="C319" s="43">
        <v>49.360259999999997</v>
      </c>
      <c r="D319" s="43">
        <v>12.1259</v>
      </c>
      <c r="E319" s="43">
        <v>30.63</v>
      </c>
      <c r="F319" s="43">
        <v>26.376819999999999</v>
      </c>
      <c r="G319" s="43">
        <v>31.629000000000001</v>
      </c>
      <c r="H319" s="43">
        <v>20.77412</v>
      </c>
      <c r="I319" s="43">
        <v>11.147640000000001</v>
      </c>
      <c r="J319" s="43">
        <v>43.0167</v>
      </c>
      <c r="K319" s="43">
        <v>29.844799999999999</v>
      </c>
      <c r="L319" s="43">
        <v>8.6316400000000009</v>
      </c>
      <c r="M319" s="43">
        <v>9.8830299999999998</v>
      </c>
      <c r="N319" s="43">
        <v>16.012740000000001</v>
      </c>
      <c r="O319" s="43">
        <v>15.367330000000001</v>
      </c>
      <c r="P319" s="44">
        <v>17.254919999999998</v>
      </c>
    </row>
    <row r="320" spans="1:16" x14ac:dyDescent="0.45">
      <c r="A320" s="47">
        <v>40639</v>
      </c>
      <c r="B320" s="43">
        <v>21.178730000000002</v>
      </c>
      <c r="C320" s="43">
        <v>49.908709999999999</v>
      </c>
      <c r="D320" s="43">
        <v>12.2859</v>
      </c>
      <c r="E320" s="43">
        <v>30.73</v>
      </c>
      <c r="F320" s="43">
        <v>26.452089999999998</v>
      </c>
      <c r="G320" s="43">
        <v>31.755030000000001</v>
      </c>
      <c r="H320" s="43">
        <v>20.521830000000001</v>
      </c>
      <c r="I320" s="43">
        <v>11.3279</v>
      </c>
      <c r="J320" s="43">
        <v>43.218400000000003</v>
      </c>
      <c r="K320" s="43">
        <v>30.381900000000002</v>
      </c>
      <c r="L320" s="43">
        <v>8.8579600000000003</v>
      </c>
      <c r="M320" s="43">
        <v>10.00863</v>
      </c>
      <c r="N320" s="43">
        <v>16.202919999999999</v>
      </c>
      <c r="O320" s="43">
        <v>15.459020000000001</v>
      </c>
      <c r="P320" s="44">
        <v>17.51191</v>
      </c>
    </row>
    <row r="321" spans="1:16" x14ac:dyDescent="0.45">
      <c r="A321" s="47">
        <v>40640</v>
      </c>
      <c r="B321" s="43">
        <v>20.854839999999999</v>
      </c>
      <c r="C321" s="43">
        <v>50.251489999999997</v>
      </c>
      <c r="D321" s="43">
        <v>12.406000000000001</v>
      </c>
      <c r="E321" s="43">
        <v>31.43</v>
      </c>
      <c r="F321" s="43">
        <v>26.527370000000001</v>
      </c>
      <c r="G321" s="43">
        <v>32.595059999999997</v>
      </c>
      <c r="H321" s="43">
        <v>21.741320000000002</v>
      </c>
      <c r="I321" s="43">
        <v>11.44815</v>
      </c>
      <c r="J321" s="43">
        <v>43.218400000000003</v>
      </c>
      <c r="K321" s="43">
        <v>30.343599999999999</v>
      </c>
      <c r="L321" s="43">
        <v>8.9872599999999991</v>
      </c>
      <c r="M321" s="43">
        <v>10.00863</v>
      </c>
      <c r="N321" s="43">
        <v>16.202919999999999</v>
      </c>
      <c r="O321" s="43">
        <v>15.428459999999999</v>
      </c>
      <c r="P321" s="44">
        <v>17.585329999999999</v>
      </c>
    </row>
    <row r="322" spans="1:16" x14ac:dyDescent="0.45">
      <c r="A322" s="47">
        <v>40641</v>
      </c>
      <c r="B322" s="43">
        <v>20.628160000000001</v>
      </c>
      <c r="C322" s="43">
        <v>50.66283</v>
      </c>
      <c r="D322" s="43">
        <v>12.486000000000001</v>
      </c>
      <c r="E322" s="43">
        <v>31.2</v>
      </c>
      <c r="F322" s="43">
        <v>26.48977</v>
      </c>
      <c r="G322" s="43">
        <v>32.595059999999997</v>
      </c>
      <c r="H322" s="43">
        <v>21.615169999999999</v>
      </c>
      <c r="I322" s="43">
        <v>11.44815</v>
      </c>
      <c r="J322" s="43">
        <v>43.823300000000003</v>
      </c>
      <c r="K322" s="43">
        <v>30.305199999999999</v>
      </c>
      <c r="L322" s="43">
        <v>8.9872599999999991</v>
      </c>
      <c r="M322" s="43">
        <v>9.9667700000000004</v>
      </c>
      <c r="N322" s="43">
        <v>16.278919999999999</v>
      </c>
      <c r="O322" s="43">
        <v>15.3979</v>
      </c>
      <c r="P322" s="44">
        <v>17.952459999999999</v>
      </c>
    </row>
    <row r="323" spans="1:16" x14ac:dyDescent="0.45">
      <c r="A323" s="47">
        <v>40644</v>
      </c>
      <c r="B323" s="43">
        <v>20.531040000000001</v>
      </c>
      <c r="C323" s="43">
        <v>52.925170000000001</v>
      </c>
      <c r="D323" s="43">
        <v>12.366</v>
      </c>
      <c r="E323" s="43">
        <v>31.2</v>
      </c>
      <c r="F323" s="43">
        <v>26.4145</v>
      </c>
      <c r="G323" s="43">
        <v>32.553060000000002</v>
      </c>
      <c r="H323" s="43">
        <v>21.110600000000002</v>
      </c>
      <c r="I323" s="43">
        <v>11.65845</v>
      </c>
      <c r="J323" s="43">
        <v>44.226500000000001</v>
      </c>
      <c r="K323" s="43">
        <v>30.497</v>
      </c>
      <c r="L323" s="43">
        <v>8.9872599999999991</v>
      </c>
      <c r="M323" s="43">
        <v>9.6317400000000006</v>
      </c>
      <c r="N323" s="43">
        <v>15.70839</v>
      </c>
      <c r="O323" s="43">
        <v>15.15348</v>
      </c>
      <c r="P323" s="44">
        <v>17.842320000000001</v>
      </c>
    </row>
    <row r="324" spans="1:16" x14ac:dyDescent="0.45">
      <c r="A324" s="47">
        <v>40645</v>
      </c>
      <c r="B324" s="43">
        <v>19.753799999999998</v>
      </c>
      <c r="C324" s="43">
        <v>53.199390000000001</v>
      </c>
      <c r="D324" s="43">
        <v>12.2859</v>
      </c>
      <c r="E324" s="43">
        <v>31.06</v>
      </c>
      <c r="F324" s="43">
        <v>26.301629999999999</v>
      </c>
      <c r="G324" s="43">
        <v>32.04898</v>
      </c>
      <c r="H324" s="43">
        <v>20.85821</v>
      </c>
      <c r="I324" s="43">
        <v>11.508240000000001</v>
      </c>
      <c r="J324" s="43">
        <v>44.159300000000002</v>
      </c>
      <c r="K324" s="43">
        <v>30.190100000000001</v>
      </c>
      <c r="L324" s="43">
        <v>8.7932600000000001</v>
      </c>
      <c r="M324" s="43">
        <v>9.67361</v>
      </c>
      <c r="N324" s="43">
        <v>15.213950000000001</v>
      </c>
      <c r="O324" s="43">
        <v>15.15348</v>
      </c>
      <c r="P324" s="44">
        <v>17.32835</v>
      </c>
    </row>
    <row r="325" spans="1:16" x14ac:dyDescent="0.45">
      <c r="A325" s="47">
        <v>40646</v>
      </c>
      <c r="B325" s="43">
        <v>19.462340000000001</v>
      </c>
      <c r="C325" s="43">
        <v>51.828279999999999</v>
      </c>
      <c r="D325" s="43">
        <v>12.245900000000001</v>
      </c>
      <c r="E325" s="43">
        <v>31.29</v>
      </c>
      <c r="F325" s="43">
        <v>26.4145</v>
      </c>
      <c r="G325" s="43">
        <v>32.090980000000002</v>
      </c>
      <c r="H325" s="43">
        <v>21.573129999999999</v>
      </c>
      <c r="I325" s="43">
        <v>11.868830000000001</v>
      </c>
      <c r="J325" s="43">
        <v>44.831499999999998</v>
      </c>
      <c r="K325" s="43">
        <v>30.190100000000001</v>
      </c>
      <c r="L325" s="43">
        <v>8.9225700000000003</v>
      </c>
      <c r="M325" s="43">
        <v>9.7154799999999994</v>
      </c>
      <c r="N325" s="43">
        <v>15.061870000000001</v>
      </c>
      <c r="O325" s="43">
        <v>15.03131</v>
      </c>
      <c r="P325" s="44">
        <v>17.73218</v>
      </c>
    </row>
    <row r="326" spans="1:16" x14ac:dyDescent="0.45">
      <c r="A326" s="47">
        <v>40647</v>
      </c>
      <c r="B326" s="43">
        <v>19.33287</v>
      </c>
      <c r="C326" s="43">
        <v>51.828279999999999</v>
      </c>
      <c r="D326" s="43">
        <v>12.1259</v>
      </c>
      <c r="E326" s="43">
        <v>31.25</v>
      </c>
      <c r="F326" s="43">
        <v>26.339230000000001</v>
      </c>
      <c r="G326" s="43">
        <v>33.93918</v>
      </c>
      <c r="H326" s="43">
        <v>21.783370000000001</v>
      </c>
      <c r="I326" s="43">
        <v>11.74858</v>
      </c>
      <c r="J326" s="43">
        <v>44.428199999999997</v>
      </c>
      <c r="K326" s="43">
        <v>30.074999999999999</v>
      </c>
      <c r="L326" s="43">
        <v>8.9225700000000003</v>
      </c>
      <c r="M326" s="43">
        <v>9.6317400000000006</v>
      </c>
      <c r="N326" s="43">
        <v>14.871689999999999</v>
      </c>
      <c r="O326" s="43">
        <v>15.00075</v>
      </c>
      <c r="P326" s="44">
        <v>18.025880000000001</v>
      </c>
    </row>
    <row r="327" spans="1:16" x14ac:dyDescent="0.45">
      <c r="A327" s="47">
        <v>40648</v>
      </c>
      <c r="B327" s="43">
        <v>18.6204</v>
      </c>
      <c r="C327" s="43">
        <v>51.69117</v>
      </c>
      <c r="D327" s="43">
        <v>11.925800000000001</v>
      </c>
      <c r="E327" s="43">
        <v>30.73</v>
      </c>
      <c r="F327" s="43">
        <v>26.22636</v>
      </c>
      <c r="G327" s="43">
        <v>34.443260000000002</v>
      </c>
      <c r="H327" s="43">
        <v>21.194690000000001</v>
      </c>
      <c r="I327" s="43">
        <v>11.718529999999999</v>
      </c>
      <c r="J327" s="43">
        <v>43.756100000000004</v>
      </c>
      <c r="K327" s="43">
        <v>30.113299999999999</v>
      </c>
      <c r="L327" s="43">
        <v>8.7286300000000008</v>
      </c>
      <c r="M327" s="43">
        <v>9.5480099999999997</v>
      </c>
      <c r="N327" s="43">
        <v>14.871689999999999</v>
      </c>
      <c r="O327" s="43">
        <v>14.725770000000001</v>
      </c>
      <c r="P327" s="44">
        <v>17.401769999999999</v>
      </c>
    </row>
    <row r="328" spans="1:16" x14ac:dyDescent="0.45">
      <c r="A328" s="47">
        <v>40651</v>
      </c>
      <c r="B328" s="43">
        <v>19.041409999999999</v>
      </c>
      <c r="C328" s="43">
        <v>50.045819999999999</v>
      </c>
      <c r="D328" s="43">
        <v>11.8057</v>
      </c>
      <c r="E328" s="43">
        <v>30.12</v>
      </c>
      <c r="F328" s="43">
        <v>26.038219999999999</v>
      </c>
      <c r="G328" s="43">
        <v>35.703360000000004</v>
      </c>
      <c r="H328" s="43">
        <v>21.32084</v>
      </c>
      <c r="I328" s="43">
        <v>11.92891</v>
      </c>
      <c r="J328" s="43">
        <v>43.621600000000001</v>
      </c>
      <c r="K328" s="43">
        <v>30.420300000000001</v>
      </c>
      <c r="L328" s="43">
        <v>8.6963100000000004</v>
      </c>
      <c r="M328" s="43">
        <v>9.5480099999999997</v>
      </c>
      <c r="N328" s="43">
        <v>15.02378</v>
      </c>
      <c r="O328" s="43">
        <v>14.66473</v>
      </c>
      <c r="P328" s="44">
        <v>17.585329999999999</v>
      </c>
    </row>
    <row r="329" spans="1:16" x14ac:dyDescent="0.45">
      <c r="A329" s="47">
        <v>40652</v>
      </c>
      <c r="B329" s="43">
        <v>19.170970000000001</v>
      </c>
      <c r="C329" s="43">
        <v>49.497369999999997</v>
      </c>
      <c r="D329" s="43">
        <v>11.925800000000001</v>
      </c>
      <c r="E329" s="43">
        <v>29.41</v>
      </c>
      <c r="F329" s="43">
        <v>26.038219999999999</v>
      </c>
      <c r="G329" s="43">
        <v>35.115270000000002</v>
      </c>
      <c r="H329" s="43">
        <v>21.110600000000002</v>
      </c>
      <c r="I329" s="43">
        <v>12.04908</v>
      </c>
      <c r="J329" s="43">
        <v>43.621600000000001</v>
      </c>
      <c r="K329" s="43">
        <v>29.8065</v>
      </c>
      <c r="L329" s="43">
        <v>8.3407</v>
      </c>
      <c r="M329" s="43">
        <v>9.3385899999999999</v>
      </c>
      <c r="N329" s="43">
        <v>14.909689999999999</v>
      </c>
      <c r="O329" s="43">
        <v>14.51191</v>
      </c>
      <c r="P329" s="44">
        <v>17.32835</v>
      </c>
    </row>
    <row r="330" spans="1:16" x14ac:dyDescent="0.45">
      <c r="A330" s="47">
        <v>40653</v>
      </c>
      <c r="B330" s="43">
        <v>19.235659999999999</v>
      </c>
      <c r="C330" s="43">
        <v>49.360259999999997</v>
      </c>
      <c r="D330" s="43">
        <v>12.085800000000001</v>
      </c>
      <c r="E330" s="43">
        <v>29.74</v>
      </c>
      <c r="F330" s="43">
        <v>26.263960000000001</v>
      </c>
      <c r="G330" s="43">
        <v>37.509549999999997</v>
      </c>
      <c r="H330" s="43">
        <v>21.40493</v>
      </c>
      <c r="I330" s="43">
        <v>11.989000000000001</v>
      </c>
      <c r="J330" s="43">
        <v>43.419899999999998</v>
      </c>
      <c r="K330" s="43">
        <v>30.535399999999999</v>
      </c>
      <c r="L330" s="43">
        <v>8.5346600000000006</v>
      </c>
      <c r="M330" s="43">
        <v>9.67361</v>
      </c>
      <c r="N330" s="43">
        <v>15.213950000000001</v>
      </c>
      <c r="O330" s="43">
        <v>15.214600000000001</v>
      </c>
      <c r="P330" s="44">
        <v>17.401769999999999</v>
      </c>
    </row>
    <row r="331" spans="1:16" x14ac:dyDescent="0.45">
      <c r="A331" s="47">
        <v>40654</v>
      </c>
      <c r="B331" s="43">
        <v>20.045249999999999</v>
      </c>
      <c r="C331" s="43">
        <v>50.114379999999997</v>
      </c>
      <c r="D331" s="43">
        <v>12.245900000000001</v>
      </c>
      <c r="E331" s="43">
        <v>30.82</v>
      </c>
      <c r="F331" s="43">
        <v>26.4145</v>
      </c>
      <c r="G331" s="43">
        <v>39.14772</v>
      </c>
      <c r="H331" s="43">
        <v>21.825420000000001</v>
      </c>
      <c r="I331" s="43">
        <v>12.16925</v>
      </c>
      <c r="J331" s="43">
        <v>43.285499999999999</v>
      </c>
      <c r="K331" s="43">
        <v>30.9956</v>
      </c>
      <c r="L331" s="43">
        <v>8.7932600000000001</v>
      </c>
      <c r="M331" s="43">
        <v>9.9667700000000004</v>
      </c>
      <c r="N331" s="43">
        <v>15.55631</v>
      </c>
      <c r="O331" s="43">
        <v>16.039549999999998</v>
      </c>
      <c r="P331" s="44">
        <v>18.613289999999999</v>
      </c>
    </row>
    <row r="332" spans="1:16" x14ac:dyDescent="0.45">
      <c r="A332" s="47">
        <v>40655</v>
      </c>
      <c r="B332" s="43">
        <v>20.49869</v>
      </c>
      <c r="C332" s="43">
        <v>49.565930000000002</v>
      </c>
      <c r="D332" s="43">
        <v>12.165900000000001</v>
      </c>
      <c r="E332" s="43">
        <v>30.4</v>
      </c>
      <c r="F332" s="43">
        <v>26.4145</v>
      </c>
      <c r="G332" s="43">
        <v>38.937690000000003</v>
      </c>
      <c r="H332" s="43">
        <v>22.161899999999999</v>
      </c>
      <c r="I332" s="43">
        <v>12.01904</v>
      </c>
      <c r="J332" s="43">
        <v>43.756100000000004</v>
      </c>
      <c r="K332" s="43">
        <v>31.379300000000001</v>
      </c>
      <c r="L332" s="43">
        <v>8.8903099999999995</v>
      </c>
      <c r="M332" s="43">
        <v>10.21805</v>
      </c>
      <c r="N332" s="43">
        <v>15.59431</v>
      </c>
      <c r="O332" s="43">
        <v>15.97842</v>
      </c>
      <c r="P332" s="44">
        <v>19.567810000000001</v>
      </c>
    </row>
    <row r="333" spans="1:16" x14ac:dyDescent="0.45">
      <c r="A333" s="47">
        <v>40658</v>
      </c>
      <c r="B333" s="43">
        <v>20.304359999999999</v>
      </c>
      <c r="C333" s="43">
        <v>52.033949999999997</v>
      </c>
      <c r="D333" s="43">
        <v>12.0458</v>
      </c>
      <c r="E333" s="43">
        <v>30.26</v>
      </c>
      <c r="F333" s="43">
        <v>26.376819999999999</v>
      </c>
      <c r="G333" s="43">
        <v>40.239800000000002</v>
      </c>
      <c r="H333" s="43">
        <v>23.675820000000002</v>
      </c>
      <c r="I333" s="43">
        <v>12.439719999999999</v>
      </c>
      <c r="J333" s="43">
        <v>44.293799999999997</v>
      </c>
      <c r="K333" s="43">
        <v>32.069800000000001</v>
      </c>
      <c r="L333" s="43">
        <v>8.9872599999999991</v>
      </c>
      <c r="M333" s="43">
        <v>10.30179</v>
      </c>
      <c r="N333" s="43">
        <v>15.632389999999999</v>
      </c>
      <c r="O333" s="43">
        <v>16.222840000000001</v>
      </c>
      <c r="P333" s="44">
        <v>19.567810000000001</v>
      </c>
    </row>
    <row r="334" spans="1:16" x14ac:dyDescent="0.45">
      <c r="A334" s="47">
        <v>40659</v>
      </c>
      <c r="B334" s="43">
        <v>20.757719999999999</v>
      </c>
      <c r="C334" s="43">
        <v>52.033949999999997</v>
      </c>
      <c r="D334" s="43">
        <v>12.2059</v>
      </c>
      <c r="E334" s="43">
        <v>30.12</v>
      </c>
      <c r="F334" s="43">
        <v>26.48977</v>
      </c>
      <c r="G334" s="43">
        <v>39.06371</v>
      </c>
      <c r="H334" s="43">
        <v>23.38139</v>
      </c>
      <c r="I334" s="43">
        <v>12.28942</v>
      </c>
      <c r="J334" s="43">
        <v>43.957700000000003</v>
      </c>
      <c r="K334" s="43">
        <v>31.302600000000002</v>
      </c>
      <c r="L334" s="43">
        <v>8.7609600000000007</v>
      </c>
      <c r="M334" s="43">
        <v>10.00863</v>
      </c>
      <c r="N334" s="43">
        <v>15.36613</v>
      </c>
      <c r="O334" s="43">
        <v>15.97842</v>
      </c>
      <c r="P334" s="44">
        <v>19.567810000000001</v>
      </c>
    </row>
    <row r="335" spans="1:16" x14ac:dyDescent="0.45">
      <c r="A335" s="47">
        <v>40660</v>
      </c>
      <c r="B335" s="43">
        <v>21.04917</v>
      </c>
      <c r="C335" s="43">
        <v>54.159179999999999</v>
      </c>
      <c r="D335" s="43">
        <v>12.245900000000001</v>
      </c>
      <c r="E335" s="43">
        <v>31.72</v>
      </c>
      <c r="F335" s="43">
        <v>26.677910000000001</v>
      </c>
      <c r="G335" s="43">
        <v>39.987760000000002</v>
      </c>
      <c r="H335" s="43">
        <v>23.002960000000002</v>
      </c>
      <c r="I335" s="43">
        <v>12.74014</v>
      </c>
      <c r="J335" s="43">
        <v>44.159300000000002</v>
      </c>
      <c r="K335" s="43">
        <v>31.993099999999998</v>
      </c>
      <c r="L335" s="43">
        <v>8.9225700000000003</v>
      </c>
      <c r="M335" s="43">
        <v>10.17619</v>
      </c>
      <c r="N335" s="43">
        <v>15.59431</v>
      </c>
      <c r="O335" s="43">
        <v>16.344999999999999</v>
      </c>
      <c r="P335" s="44">
        <v>20.081790000000002</v>
      </c>
    </row>
    <row r="336" spans="1:16" x14ac:dyDescent="0.45">
      <c r="A336" s="47">
        <v>40661</v>
      </c>
      <c r="B336" s="43">
        <v>21.826329999999999</v>
      </c>
      <c r="C336" s="43">
        <v>53.610729999999997</v>
      </c>
      <c r="D336" s="43">
        <v>12.085800000000001</v>
      </c>
      <c r="E336" s="43">
        <v>31.81</v>
      </c>
      <c r="F336" s="43">
        <v>26.82837</v>
      </c>
      <c r="G336" s="43">
        <v>39.525680000000001</v>
      </c>
      <c r="H336" s="43">
        <v>22.62443</v>
      </c>
      <c r="I336" s="43">
        <v>12.77018</v>
      </c>
      <c r="J336" s="43">
        <v>44.159300000000002</v>
      </c>
      <c r="K336" s="43">
        <v>31.916399999999999</v>
      </c>
      <c r="L336" s="43">
        <v>8.7932600000000001</v>
      </c>
      <c r="M336" s="43">
        <v>10.092449999999999</v>
      </c>
      <c r="N336" s="43">
        <v>15.442220000000001</v>
      </c>
      <c r="O336" s="43">
        <v>16.406130000000001</v>
      </c>
      <c r="P336" s="44">
        <v>20.559049999999999</v>
      </c>
    </row>
    <row r="337" spans="1:16" x14ac:dyDescent="0.45">
      <c r="A337" s="47">
        <v>40662</v>
      </c>
      <c r="B337" s="43">
        <v>21.567309999999999</v>
      </c>
      <c r="C337" s="43">
        <v>53.610729999999997</v>
      </c>
      <c r="D337" s="43">
        <v>11.8858</v>
      </c>
      <c r="E337" s="43">
        <v>31.53</v>
      </c>
      <c r="F337" s="43">
        <v>26.640229999999999</v>
      </c>
      <c r="G337" s="43">
        <v>39.231729999999999</v>
      </c>
      <c r="H337" s="43">
        <v>22.288039999999999</v>
      </c>
      <c r="I337" s="43">
        <v>12.680059999999999</v>
      </c>
      <c r="J337" s="43">
        <v>43.8904</v>
      </c>
      <c r="K337" s="43">
        <v>32.223199999999999</v>
      </c>
      <c r="L337" s="43">
        <v>8.7932600000000001</v>
      </c>
      <c r="M337" s="43">
        <v>10.0505</v>
      </c>
      <c r="N337" s="43">
        <v>15.137869999999999</v>
      </c>
      <c r="O337" s="43">
        <v>16.222840000000001</v>
      </c>
      <c r="P337" s="44">
        <v>19.8248</v>
      </c>
    </row>
    <row r="338" spans="1:16" x14ac:dyDescent="0.45">
      <c r="A338" s="47">
        <v>40666</v>
      </c>
      <c r="B338" s="43">
        <v>21.567309999999999</v>
      </c>
      <c r="C338" s="43">
        <v>52.856610000000003</v>
      </c>
      <c r="D338" s="43">
        <v>11.9658</v>
      </c>
      <c r="E338" s="43">
        <v>31.67</v>
      </c>
      <c r="F338" s="43">
        <v>26.640229999999999</v>
      </c>
      <c r="G338" s="43">
        <v>38.60163</v>
      </c>
      <c r="H338" s="43">
        <v>22.330089999999998</v>
      </c>
      <c r="I338" s="43">
        <v>13.40124</v>
      </c>
      <c r="J338" s="43">
        <v>44.4953</v>
      </c>
      <c r="K338" s="43">
        <v>32.3767</v>
      </c>
      <c r="L338" s="43">
        <v>8.8579600000000003</v>
      </c>
      <c r="M338" s="43">
        <v>9.9667700000000004</v>
      </c>
      <c r="N338" s="43">
        <v>15.213950000000001</v>
      </c>
      <c r="O338" s="43">
        <v>16.131150000000002</v>
      </c>
      <c r="P338" s="44">
        <v>20.779330000000002</v>
      </c>
    </row>
    <row r="339" spans="1:16" x14ac:dyDescent="0.45">
      <c r="A339" s="47">
        <v>40667</v>
      </c>
      <c r="B339" s="43">
        <v>21.372979999999998</v>
      </c>
      <c r="C339" s="43">
        <v>52.856610000000003</v>
      </c>
      <c r="D339" s="43">
        <v>11.9658</v>
      </c>
      <c r="E339" s="43">
        <v>31.62</v>
      </c>
      <c r="F339" s="43">
        <v>26.564959999999999</v>
      </c>
      <c r="G339" s="43">
        <v>38.727649999999997</v>
      </c>
      <c r="H339" s="43">
        <v>23.002960000000002</v>
      </c>
      <c r="I339" s="43">
        <v>13.46133</v>
      </c>
      <c r="J339" s="43">
        <v>44.629800000000003</v>
      </c>
      <c r="K339" s="43">
        <v>31.878</v>
      </c>
      <c r="L339" s="43">
        <v>8.7286300000000008</v>
      </c>
      <c r="M339" s="43">
        <v>9.8830299999999998</v>
      </c>
      <c r="N339" s="43">
        <v>15.32813</v>
      </c>
      <c r="O339" s="43">
        <v>16.28396</v>
      </c>
      <c r="P339" s="44">
        <v>20.779330000000002</v>
      </c>
    </row>
    <row r="340" spans="1:16" x14ac:dyDescent="0.45">
      <c r="A340" s="47">
        <v>40668</v>
      </c>
      <c r="B340" s="43">
        <v>21.729209999999998</v>
      </c>
      <c r="C340" s="43">
        <v>53.816400000000002</v>
      </c>
      <c r="D340" s="43">
        <v>12.005800000000001</v>
      </c>
      <c r="E340" s="43">
        <v>31.39</v>
      </c>
      <c r="F340" s="43">
        <v>26.4145</v>
      </c>
      <c r="G340" s="43">
        <v>41.415889999999997</v>
      </c>
      <c r="H340" s="43">
        <v>23.171150000000001</v>
      </c>
      <c r="I340" s="43">
        <v>13.82183</v>
      </c>
      <c r="J340" s="43">
        <v>44.697000000000003</v>
      </c>
      <c r="K340" s="43">
        <v>31.6478</v>
      </c>
      <c r="L340" s="43">
        <v>8.7609600000000007</v>
      </c>
      <c r="M340" s="43">
        <v>9.9248999999999992</v>
      </c>
      <c r="N340" s="43">
        <v>15.480219999999999</v>
      </c>
      <c r="O340" s="43">
        <v>16.37557</v>
      </c>
      <c r="P340" s="44">
        <v>20.85275</v>
      </c>
    </row>
    <row r="341" spans="1:16" x14ac:dyDescent="0.45">
      <c r="A341" s="47">
        <v>40669</v>
      </c>
      <c r="B341" s="43">
        <v>21.729209999999998</v>
      </c>
      <c r="C341" s="43">
        <v>54.913290000000003</v>
      </c>
      <c r="D341" s="43">
        <v>12.005800000000001</v>
      </c>
      <c r="E341" s="43">
        <v>30.73</v>
      </c>
      <c r="F341" s="43">
        <v>26.339230000000001</v>
      </c>
      <c r="G341" s="43">
        <v>42.256019999999999</v>
      </c>
      <c r="H341" s="43">
        <v>23.465489999999999</v>
      </c>
      <c r="I341" s="43">
        <v>14.66319</v>
      </c>
      <c r="J341" s="43">
        <v>46.108499999999999</v>
      </c>
      <c r="K341" s="43">
        <v>31.839600000000001</v>
      </c>
      <c r="L341" s="43">
        <v>8.8256099999999993</v>
      </c>
      <c r="M341" s="43">
        <v>9.8830299999999998</v>
      </c>
      <c r="N341" s="43">
        <v>15.252039999999999</v>
      </c>
      <c r="O341" s="43">
        <v>16.07002</v>
      </c>
      <c r="P341" s="44">
        <v>20.302070000000001</v>
      </c>
    </row>
    <row r="342" spans="1:16" x14ac:dyDescent="0.45">
      <c r="A342" s="47">
        <v>40672</v>
      </c>
      <c r="B342" s="43">
        <v>22.279769999999999</v>
      </c>
      <c r="C342" s="43">
        <v>57.244190000000003</v>
      </c>
      <c r="D342" s="43">
        <v>12.165900000000001</v>
      </c>
      <c r="E342" s="43">
        <v>31.34</v>
      </c>
      <c r="F342" s="43">
        <v>26.376819999999999</v>
      </c>
      <c r="G342" s="43">
        <v>43.684150000000002</v>
      </c>
      <c r="H342" s="43">
        <v>23.759920000000001</v>
      </c>
      <c r="I342" s="43">
        <v>13.94209</v>
      </c>
      <c r="J342" s="43">
        <v>45.839700000000001</v>
      </c>
      <c r="K342" s="43">
        <v>32.530099999999997</v>
      </c>
      <c r="L342" s="43">
        <v>9.0519599999999993</v>
      </c>
      <c r="M342" s="43">
        <v>10.092449999999999</v>
      </c>
      <c r="N342" s="43">
        <v>15.290039999999999</v>
      </c>
      <c r="O342" s="43">
        <v>16.222840000000001</v>
      </c>
      <c r="P342" s="44">
        <v>20.045079999999999</v>
      </c>
    </row>
    <row r="343" spans="1:16" x14ac:dyDescent="0.45">
      <c r="A343" s="47">
        <v>40673</v>
      </c>
      <c r="B343" s="43">
        <v>21.891110000000001</v>
      </c>
      <c r="C343" s="43">
        <v>55.873080000000002</v>
      </c>
      <c r="D343" s="43">
        <v>12.085800000000001</v>
      </c>
      <c r="E343" s="43">
        <v>31.15</v>
      </c>
      <c r="F343" s="43">
        <v>26.376819999999999</v>
      </c>
      <c r="G343" s="43">
        <v>43.684150000000002</v>
      </c>
      <c r="H343" s="43">
        <v>23.465489999999999</v>
      </c>
      <c r="I343" s="43">
        <v>13.82183</v>
      </c>
      <c r="J343" s="43">
        <v>45.570799999999998</v>
      </c>
      <c r="K343" s="43">
        <v>32.338299999999997</v>
      </c>
      <c r="L343" s="43">
        <v>9.0196100000000001</v>
      </c>
      <c r="M343" s="43">
        <v>10.134320000000001</v>
      </c>
      <c r="N343" s="43">
        <v>15.252039999999999</v>
      </c>
      <c r="O343" s="43">
        <v>16.222840000000001</v>
      </c>
      <c r="P343" s="44">
        <v>19.898230000000002</v>
      </c>
    </row>
    <row r="344" spans="1:16" x14ac:dyDescent="0.45">
      <c r="A344" s="47">
        <v>40674</v>
      </c>
      <c r="B344" s="43">
        <v>21.988320000000002</v>
      </c>
      <c r="C344" s="43">
        <v>56.421529999999997</v>
      </c>
      <c r="D344" s="43">
        <v>12.0458</v>
      </c>
      <c r="E344" s="43">
        <v>31.53</v>
      </c>
      <c r="F344" s="43">
        <v>26.4145</v>
      </c>
      <c r="G344" s="43">
        <v>44.272150000000003</v>
      </c>
      <c r="H344" s="43">
        <v>22.876809999999999</v>
      </c>
      <c r="I344" s="43">
        <v>14.00217</v>
      </c>
      <c r="J344" s="43">
        <v>46.0413</v>
      </c>
      <c r="K344" s="43">
        <v>32.338299999999997</v>
      </c>
      <c r="L344" s="43">
        <v>9.0519599999999993</v>
      </c>
      <c r="M344" s="43">
        <v>10.00863</v>
      </c>
      <c r="N344" s="43">
        <v>15.137869999999999</v>
      </c>
      <c r="O344" s="43">
        <v>16.10059</v>
      </c>
      <c r="P344" s="44">
        <v>19.017119999999998</v>
      </c>
    </row>
    <row r="345" spans="1:16" x14ac:dyDescent="0.45">
      <c r="A345" s="47">
        <v>40675</v>
      </c>
      <c r="B345" s="43">
        <v>22.279769999999999</v>
      </c>
      <c r="C345" s="43">
        <v>56.010190000000001</v>
      </c>
      <c r="D345" s="43">
        <v>11.925800000000001</v>
      </c>
      <c r="E345" s="43">
        <v>32.61</v>
      </c>
      <c r="F345" s="43">
        <v>26.452089999999998</v>
      </c>
      <c r="G345" s="43">
        <v>43.516120000000001</v>
      </c>
      <c r="H345" s="43">
        <v>23.045010000000001</v>
      </c>
      <c r="I345" s="43">
        <v>13.761749999999999</v>
      </c>
      <c r="J345" s="43">
        <v>45.570799999999998</v>
      </c>
      <c r="K345" s="43">
        <v>32.108199999999997</v>
      </c>
      <c r="L345" s="43">
        <v>8.9872599999999991</v>
      </c>
      <c r="M345" s="43">
        <v>9.9248999999999992</v>
      </c>
      <c r="N345" s="43">
        <v>15.061870000000001</v>
      </c>
      <c r="O345" s="43">
        <v>15.917289999999999</v>
      </c>
      <c r="P345" s="44">
        <v>19.017119999999998</v>
      </c>
    </row>
    <row r="346" spans="1:16" x14ac:dyDescent="0.45">
      <c r="A346" s="47">
        <v>40676</v>
      </c>
      <c r="B346" s="43">
        <v>22.247340000000001</v>
      </c>
      <c r="C346" s="43">
        <v>55.530299999999997</v>
      </c>
      <c r="D346" s="43">
        <v>11.9658</v>
      </c>
      <c r="E346" s="43">
        <v>32.42</v>
      </c>
      <c r="F346" s="43">
        <v>26.452089999999998</v>
      </c>
      <c r="G346" s="43">
        <v>43.432110000000002</v>
      </c>
      <c r="H346" s="43">
        <v>22.62443</v>
      </c>
      <c r="I346" s="43">
        <v>13.882</v>
      </c>
      <c r="J346" s="43">
        <v>45.436399999999999</v>
      </c>
      <c r="K346" s="43">
        <v>32.338299999999997</v>
      </c>
      <c r="L346" s="43">
        <v>8.8256099999999993</v>
      </c>
      <c r="M346" s="43">
        <v>9.9248999999999992</v>
      </c>
      <c r="N346" s="43">
        <v>15.061870000000001</v>
      </c>
      <c r="O346" s="43">
        <v>16.222840000000001</v>
      </c>
      <c r="P346" s="44">
        <v>19.017119999999998</v>
      </c>
    </row>
    <row r="347" spans="1:16" x14ac:dyDescent="0.45">
      <c r="A347" s="47">
        <v>40679</v>
      </c>
      <c r="B347" s="43">
        <v>21.50253</v>
      </c>
      <c r="C347" s="43">
        <v>54.570509999999999</v>
      </c>
      <c r="D347" s="43">
        <v>11.9658</v>
      </c>
      <c r="E347" s="43">
        <v>33.32</v>
      </c>
      <c r="F347" s="43">
        <v>26.376819999999999</v>
      </c>
      <c r="G347" s="43">
        <v>44.440179999999998</v>
      </c>
      <c r="H347" s="43">
        <v>22.372140000000002</v>
      </c>
      <c r="I347" s="43">
        <v>13.912039999999999</v>
      </c>
      <c r="J347" s="43">
        <v>45.436399999999999</v>
      </c>
      <c r="K347" s="43">
        <v>31.916399999999999</v>
      </c>
      <c r="L347" s="43">
        <v>8.8903099999999995</v>
      </c>
      <c r="M347" s="43">
        <v>9.8830299999999998</v>
      </c>
      <c r="N347" s="43">
        <v>14.94778</v>
      </c>
      <c r="O347" s="43">
        <v>15.97842</v>
      </c>
      <c r="P347" s="44">
        <v>18.870270000000001</v>
      </c>
    </row>
    <row r="348" spans="1:16" x14ac:dyDescent="0.45">
      <c r="A348" s="47">
        <v>40680</v>
      </c>
      <c r="B348" s="43">
        <v>21.793990000000001</v>
      </c>
      <c r="C348" s="43">
        <v>54.159179999999999</v>
      </c>
      <c r="D348" s="43">
        <v>11.8858</v>
      </c>
      <c r="E348" s="43">
        <v>33.69</v>
      </c>
      <c r="F348" s="43">
        <v>26.339230000000001</v>
      </c>
      <c r="G348" s="43">
        <v>41.331870000000002</v>
      </c>
      <c r="H348" s="43">
        <v>22.66657</v>
      </c>
      <c r="I348" s="43">
        <v>14.122339999999999</v>
      </c>
      <c r="J348" s="43">
        <v>44.898699999999998</v>
      </c>
      <c r="K348" s="43">
        <v>31.839600000000001</v>
      </c>
      <c r="L348" s="43">
        <v>8.8579600000000003</v>
      </c>
      <c r="M348" s="43">
        <v>9.7993000000000006</v>
      </c>
      <c r="N348" s="43">
        <v>14.98578</v>
      </c>
      <c r="O348" s="43">
        <v>15.79513</v>
      </c>
      <c r="P348" s="44">
        <v>19.163979999999999</v>
      </c>
    </row>
    <row r="349" spans="1:16" x14ac:dyDescent="0.45">
      <c r="A349" s="47">
        <v>40681</v>
      </c>
      <c r="B349" s="43">
        <v>22.344470000000001</v>
      </c>
      <c r="C349" s="43">
        <v>54.090620000000001</v>
      </c>
      <c r="D349" s="43">
        <v>11.685700000000001</v>
      </c>
      <c r="E349" s="43">
        <v>33.36</v>
      </c>
      <c r="F349" s="43">
        <v>26.48977</v>
      </c>
      <c r="G349" s="43">
        <v>40.491840000000003</v>
      </c>
      <c r="H349" s="43">
        <v>22.834759999999999</v>
      </c>
      <c r="I349" s="43">
        <v>14.42285</v>
      </c>
      <c r="J349" s="43">
        <v>45.100299999999997</v>
      </c>
      <c r="K349" s="43">
        <v>31.762899999999998</v>
      </c>
      <c r="L349" s="43">
        <v>8.8903099999999995</v>
      </c>
      <c r="M349" s="43">
        <v>9.7993000000000006</v>
      </c>
      <c r="N349" s="43">
        <v>15.061870000000001</v>
      </c>
      <c r="O349" s="43">
        <v>15.764559999999999</v>
      </c>
      <c r="P349" s="44">
        <v>19.09055</v>
      </c>
    </row>
    <row r="350" spans="1:16" x14ac:dyDescent="0.45">
      <c r="A350" s="47">
        <v>40682</v>
      </c>
      <c r="B350" s="43">
        <v>21.793990000000001</v>
      </c>
      <c r="C350" s="43">
        <v>54.159179999999999</v>
      </c>
      <c r="D350" s="43">
        <v>11.8057</v>
      </c>
      <c r="E350" s="43">
        <v>32.659999999999997</v>
      </c>
      <c r="F350" s="43">
        <v>26.376819999999999</v>
      </c>
      <c r="G350" s="43">
        <v>40.071770000000001</v>
      </c>
      <c r="H350" s="43">
        <v>21.825420000000001</v>
      </c>
      <c r="I350" s="43">
        <v>14.33264</v>
      </c>
      <c r="J350" s="43">
        <v>45.033099999999997</v>
      </c>
      <c r="K350" s="43">
        <v>31.340900000000001</v>
      </c>
      <c r="L350" s="43">
        <v>8.8579600000000003</v>
      </c>
      <c r="M350" s="43">
        <v>9.7993000000000006</v>
      </c>
      <c r="N350" s="43">
        <v>15.099869999999999</v>
      </c>
      <c r="O350" s="43">
        <v>15.88673</v>
      </c>
      <c r="P350" s="44">
        <v>18.57657</v>
      </c>
    </row>
    <row r="351" spans="1:16" x14ac:dyDescent="0.45">
      <c r="A351" s="47">
        <v>40683</v>
      </c>
      <c r="B351" s="43">
        <v>22.053100000000001</v>
      </c>
      <c r="C351" s="43">
        <v>53.199390000000001</v>
      </c>
      <c r="D351" s="43">
        <v>11.685700000000001</v>
      </c>
      <c r="E351" s="43">
        <v>32.049999999999997</v>
      </c>
      <c r="F351" s="43">
        <v>26.4145</v>
      </c>
      <c r="G351" s="43">
        <v>39.651699999999998</v>
      </c>
      <c r="H351" s="43">
        <v>21.44698</v>
      </c>
      <c r="I351" s="43">
        <v>13.97213</v>
      </c>
      <c r="J351" s="43">
        <v>44.629800000000003</v>
      </c>
      <c r="K351" s="43">
        <v>31.302600000000002</v>
      </c>
      <c r="L351" s="43">
        <v>8.6316400000000009</v>
      </c>
      <c r="M351" s="43">
        <v>9.7574299999999994</v>
      </c>
      <c r="N351" s="43">
        <v>15.02378</v>
      </c>
      <c r="O351" s="43">
        <v>15.64231</v>
      </c>
      <c r="P351" s="44">
        <v>17.842320000000001</v>
      </c>
    </row>
    <row r="352" spans="1:16" x14ac:dyDescent="0.45">
      <c r="A352" s="47">
        <v>40686</v>
      </c>
      <c r="B352" s="43">
        <v>21.50253</v>
      </c>
      <c r="C352" s="43">
        <v>53.130839999999999</v>
      </c>
      <c r="D352" s="43">
        <v>11.605600000000001</v>
      </c>
      <c r="E352" s="43">
        <v>31.72</v>
      </c>
      <c r="F352" s="43">
        <v>26.188770000000002</v>
      </c>
      <c r="G352" s="43">
        <v>39.315649999999998</v>
      </c>
      <c r="H352" s="43">
        <v>21.32084</v>
      </c>
      <c r="I352" s="43">
        <v>14.48293</v>
      </c>
      <c r="J352" s="43">
        <v>44.629800000000003</v>
      </c>
      <c r="K352" s="43">
        <v>30.9573</v>
      </c>
      <c r="L352" s="43">
        <v>8.4700100000000003</v>
      </c>
      <c r="M352" s="43">
        <v>9.5480099999999997</v>
      </c>
      <c r="N352" s="43">
        <v>14.75752</v>
      </c>
      <c r="O352" s="43">
        <v>15.214600000000001</v>
      </c>
      <c r="P352" s="44">
        <v>17.254919999999998</v>
      </c>
    </row>
    <row r="353" spans="1:16" x14ac:dyDescent="0.45">
      <c r="A353" s="47">
        <v>40687</v>
      </c>
      <c r="B353" s="43">
        <v>21.372979999999998</v>
      </c>
      <c r="C353" s="43">
        <v>53.062280000000001</v>
      </c>
      <c r="D353" s="43">
        <v>11.5656</v>
      </c>
      <c r="E353" s="43">
        <v>31.53</v>
      </c>
      <c r="F353" s="43">
        <v>26.188770000000002</v>
      </c>
      <c r="G353" s="43">
        <v>37.467550000000003</v>
      </c>
      <c r="H353" s="43">
        <v>21.657219999999999</v>
      </c>
      <c r="I353" s="43">
        <v>14.21247</v>
      </c>
      <c r="J353" s="43">
        <v>45.637999999999998</v>
      </c>
      <c r="K353" s="43">
        <v>31.225899999999999</v>
      </c>
      <c r="L353" s="43">
        <v>8.5023300000000006</v>
      </c>
      <c r="M353" s="43">
        <v>9.6317400000000006</v>
      </c>
      <c r="N353" s="43">
        <v>14.681520000000001</v>
      </c>
      <c r="O353" s="43">
        <v>15.09244</v>
      </c>
      <c r="P353" s="44">
        <v>17.401769999999999</v>
      </c>
    </row>
    <row r="354" spans="1:16" x14ac:dyDescent="0.45">
      <c r="A354" s="47">
        <v>40688</v>
      </c>
      <c r="B354" s="43">
        <v>21.308199999999999</v>
      </c>
      <c r="C354" s="43">
        <v>55.256070000000001</v>
      </c>
      <c r="D354" s="43">
        <v>11.6456</v>
      </c>
      <c r="E354" s="43">
        <v>32.049999999999997</v>
      </c>
      <c r="F354" s="43">
        <v>25.88768</v>
      </c>
      <c r="G354" s="43">
        <v>37.887619999999998</v>
      </c>
      <c r="H354" s="43">
        <v>21.278790000000001</v>
      </c>
      <c r="I354" s="43">
        <v>14.633150000000001</v>
      </c>
      <c r="J354" s="43">
        <v>45.839700000000001</v>
      </c>
      <c r="K354" s="43">
        <v>31.532699999999998</v>
      </c>
      <c r="L354" s="43">
        <v>8.4053500000000003</v>
      </c>
      <c r="M354" s="43">
        <v>9.4642700000000008</v>
      </c>
      <c r="N354" s="43">
        <v>14.60543</v>
      </c>
      <c r="O354" s="43">
        <v>14.75633</v>
      </c>
      <c r="P354" s="44">
        <v>17.51191</v>
      </c>
    </row>
    <row r="355" spans="1:16" x14ac:dyDescent="0.45">
      <c r="A355" s="47">
        <v>40689</v>
      </c>
      <c r="B355" s="43">
        <v>21.243500000000001</v>
      </c>
      <c r="C355" s="43">
        <v>54.981850000000001</v>
      </c>
      <c r="D355" s="43">
        <v>11.6456</v>
      </c>
      <c r="E355" s="43">
        <v>31.34</v>
      </c>
      <c r="F355" s="43">
        <v>25.774819999999998</v>
      </c>
      <c r="G355" s="43">
        <v>39.06371</v>
      </c>
      <c r="H355" s="43">
        <v>21.362880000000001</v>
      </c>
      <c r="I355" s="43">
        <v>14.96369</v>
      </c>
      <c r="J355" s="43">
        <v>45.570799999999998</v>
      </c>
      <c r="K355" s="43">
        <v>31.878</v>
      </c>
      <c r="L355" s="43">
        <v>8.4376800000000003</v>
      </c>
      <c r="M355" s="43">
        <v>9.5480099999999997</v>
      </c>
      <c r="N355" s="43">
        <v>14.833600000000001</v>
      </c>
      <c r="O355" s="43">
        <v>14.817460000000001</v>
      </c>
      <c r="P355" s="44">
        <v>17.842320000000001</v>
      </c>
    </row>
    <row r="356" spans="1:16" x14ac:dyDescent="0.45">
      <c r="A356" s="47">
        <v>40690</v>
      </c>
      <c r="B356" s="43">
        <v>22.020669999999999</v>
      </c>
      <c r="C356" s="43">
        <v>54.707630000000002</v>
      </c>
      <c r="D356" s="43">
        <v>11.4856</v>
      </c>
      <c r="E356" s="43">
        <v>30.54</v>
      </c>
      <c r="F356" s="43">
        <v>25.586680000000001</v>
      </c>
      <c r="G356" s="43">
        <v>39.06371</v>
      </c>
      <c r="H356" s="43">
        <v>21.699269999999999</v>
      </c>
      <c r="I356" s="43">
        <v>14.993740000000001</v>
      </c>
      <c r="J356" s="43">
        <v>45.369199999999999</v>
      </c>
      <c r="K356" s="43">
        <v>31.6861</v>
      </c>
      <c r="L356" s="43">
        <v>8.4376800000000003</v>
      </c>
      <c r="M356" s="43">
        <v>9.5898800000000008</v>
      </c>
      <c r="N356" s="43">
        <v>14.64343</v>
      </c>
      <c r="O356" s="43">
        <v>14.878579999999999</v>
      </c>
      <c r="P356" s="44">
        <v>17.768899999999999</v>
      </c>
    </row>
    <row r="357" spans="1:16" x14ac:dyDescent="0.45">
      <c r="A357" s="47">
        <v>40693</v>
      </c>
      <c r="B357" s="43">
        <v>22.8626</v>
      </c>
      <c r="C357" s="43">
        <v>54.981850000000001</v>
      </c>
      <c r="D357" s="43">
        <v>11.765700000000001</v>
      </c>
      <c r="E357" s="43">
        <v>30.21</v>
      </c>
      <c r="F357" s="43">
        <v>25.737220000000001</v>
      </c>
      <c r="G357" s="43">
        <v>41.03783</v>
      </c>
      <c r="H357" s="43">
        <v>22.11985</v>
      </c>
      <c r="I357" s="43">
        <v>15.14395</v>
      </c>
      <c r="J357" s="43">
        <v>45.167499999999997</v>
      </c>
      <c r="K357" s="43">
        <v>31.878</v>
      </c>
      <c r="L357" s="43">
        <v>8.4700100000000003</v>
      </c>
      <c r="M357" s="43">
        <v>9.5480099999999997</v>
      </c>
      <c r="N357" s="43">
        <v>14.681520000000001</v>
      </c>
      <c r="O357" s="43">
        <v>14.725770000000001</v>
      </c>
      <c r="P357" s="44">
        <v>18.24616</v>
      </c>
    </row>
    <row r="358" spans="1:16" x14ac:dyDescent="0.45">
      <c r="A358" s="47">
        <v>40694</v>
      </c>
      <c r="B358" s="43">
        <v>22.927379999999999</v>
      </c>
      <c r="C358" s="43">
        <v>56.215859999999999</v>
      </c>
      <c r="D358" s="43">
        <v>11.845700000000001</v>
      </c>
      <c r="E358" s="43">
        <v>30.59</v>
      </c>
      <c r="F358" s="43">
        <v>25.81241</v>
      </c>
      <c r="G358" s="43">
        <v>41.289870000000001</v>
      </c>
      <c r="H358" s="43">
        <v>22.498280000000001</v>
      </c>
      <c r="I358" s="43">
        <v>14.93365</v>
      </c>
      <c r="J358" s="43">
        <v>46.377400000000002</v>
      </c>
      <c r="K358" s="43">
        <v>32.108199999999997</v>
      </c>
      <c r="L358" s="43">
        <v>8.6316400000000009</v>
      </c>
      <c r="M358" s="43">
        <v>9.7993000000000006</v>
      </c>
      <c r="N358" s="43">
        <v>15.02378</v>
      </c>
      <c r="O358" s="43">
        <v>15.061870000000001</v>
      </c>
      <c r="P358" s="44">
        <v>18.42972</v>
      </c>
    </row>
    <row r="359" spans="1:16" x14ac:dyDescent="0.45">
      <c r="A359" s="47">
        <v>40695</v>
      </c>
      <c r="B359" s="43">
        <v>23.154060000000001</v>
      </c>
      <c r="C359" s="43">
        <v>54.844740000000002</v>
      </c>
      <c r="D359" s="43">
        <v>12.0458</v>
      </c>
      <c r="E359" s="43">
        <v>30.45</v>
      </c>
      <c r="F359" s="43">
        <v>25.774819999999998</v>
      </c>
      <c r="G359" s="43">
        <v>41.205849999999998</v>
      </c>
      <c r="H359" s="43">
        <v>22.161899999999999</v>
      </c>
      <c r="I359" s="43">
        <v>15.08386</v>
      </c>
      <c r="J359" s="43">
        <v>46.108499999999999</v>
      </c>
      <c r="K359" s="43">
        <v>32.261600000000001</v>
      </c>
      <c r="L359" s="43">
        <v>8.7286300000000008</v>
      </c>
      <c r="M359" s="43">
        <v>9.7993000000000006</v>
      </c>
      <c r="N359" s="43">
        <v>15.290039999999999</v>
      </c>
      <c r="O359" s="43">
        <v>15.214600000000001</v>
      </c>
      <c r="P359" s="44">
        <v>18.20945</v>
      </c>
    </row>
    <row r="360" spans="1:16" x14ac:dyDescent="0.45">
      <c r="A360" s="47">
        <v>40696</v>
      </c>
      <c r="B360" s="43">
        <v>22.992159999999998</v>
      </c>
      <c r="C360" s="43">
        <v>54.776179999999997</v>
      </c>
      <c r="D360" s="43">
        <v>12.0458</v>
      </c>
      <c r="E360" s="43">
        <v>30.77</v>
      </c>
      <c r="F360" s="43">
        <v>25.661950000000001</v>
      </c>
      <c r="G360" s="43">
        <v>40.785890000000002</v>
      </c>
      <c r="H360" s="43">
        <v>21.531079999999999</v>
      </c>
      <c r="I360" s="43">
        <v>14.873570000000001</v>
      </c>
      <c r="J360" s="43">
        <v>46.242899999999999</v>
      </c>
      <c r="K360" s="43">
        <v>32.223199999999999</v>
      </c>
      <c r="L360" s="43">
        <v>8.6963100000000004</v>
      </c>
      <c r="M360" s="43">
        <v>9.7574299999999994</v>
      </c>
      <c r="N360" s="43">
        <v>15.213950000000001</v>
      </c>
      <c r="O360" s="43">
        <v>15.03131</v>
      </c>
      <c r="P360" s="44">
        <v>18.24616</v>
      </c>
    </row>
    <row r="361" spans="1:16" x14ac:dyDescent="0.45">
      <c r="A361" s="47">
        <v>40697</v>
      </c>
      <c r="B361" s="43">
        <v>23.445509999999999</v>
      </c>
      <c r="C361" s="43">
        <v>56.215859999999999</v>
      </c>
      <c r="D361" s="43">
        <v>12.005800000000001</v>
      </c>
      <c r="E361" s="43">
        <v>31.06</v>
      </c>
      <c r="F361" s="43">
        <v>25.774819999999998</v>
      </c>
      <c r="G361" s="43">
        <v>40.617849999999997</v>
      </c>
      <c r="H361" s="43">
        <v>21.278790000000001</v>
      </c>
      <c r="I361" s="43">
        <v>14.81348</v>
      </c>
      <c r="J361" s="43">
        <v>46.242899999999999</v>
      </c>
      <c r="K361" s="43">
        <v>32.338299999999997</v>
      </c>
      <c r="L361" s="43">
        <v>8.6639800000000005</v>
      </c>
      <c r="M361" s="43">
        <v>9.8411600000000004</v>
      </c>
      <c r="N361" s="43">
        <v>15.252039999999999</v>
      </c>
      <c r="O361" s="43">
        <v>15.03131</v>
      </c>
      <c r="P361" s="44">
        <v>18.282869999999999</v>
      </c>
    </row>
    <row r="362" spans="1:16" x14ac:dyDescent="0.45">
      <c r="A362" s="47">
        <v>40701</v>
      </c>
      <c r="B362" s="43">
        <v>23.154060000000001</v>
      </c>
      <c r="C362" s="43">
        <v>55.461739999999999</v>
      </c>
      <c r="D362" s="43">
        <v>11.8858</v>
      </c>
      <c r="E362" s="43">
        <v>30.73</v>
      </c>
      <c r="F362" s="43">
        <v>25.774819999999998</v>
      </c>
      <c r="G362" s="43">
        <v>40.071770000000001</v>
      </c>
      <c r="H362" s="43">
        <v>21.236740000000001</v>
      </c>
      <c r="I362" s="43">
        <v>15.05382</v>
      </c>
      <c r="J362" s="43">
        <v>46.242899999999999</v>
      </c>
      <c r="K362" s="43">
        <v>32.3767</v>
      </c>
      <c r="L362" s="43">
        <v>8.5993099999999991</v>
      </c>
      <c r="M362" s="43">
        <v>9.8830299999999998</v>
      </c>
      <c r="N362" s="43">
        <v>15.36613</v>
      </c>
      <c r="O362" s="43">
        <v>15.09244</v>
      </c>
      <c r="P362" s="44">
        <v>18.90699</v>
      </c>
    </row>
    <row r="363" spans="1:16" x14ac:dyDescent="0.45">
      <c r="A363" s="47">
        <v>40702</v>
      </c>
      <c r="B363" s="43">
        <v>22.895029999999998</v>
      </c>
      <c r="C363" s="43">
        <v>55.050409999999999</v>
      </c>
      <c r="D363" s="43">
        <v>12.005800000000001</v>
      </c>
      <c r="E363" s="43">
        <v>30.77</v>
      </c>
      <c r="F363" s="43">
        <v>25.737220000000001</v>
      </c>
      <c r="G363" s="43">
        <v>40.365819999999999</v>
      </c>
      <c r="H363" s="43">
        <v>21.068549999999998</v>
      </c>
      <c r="I363" s="43">
        <v>14.90361</v>
      </c>
      <c r="J363" s="43">
        <v>46.310099999999998</v>
      </c>
      <c r="K363" s="43">
        <v>32.184899999999999</v>
      </c>
      <c r="L363" s="43">
        <v>8.4053500000000003</v>
      </c>
      <c r="M363" s="43">
        <v>9.7574299999999994</v>
      </c>
      <c r="N363" s="43">
        <v>15.480219999999999</v>
      </c>
      <c r="O363" s="43">
        <v>15.061870000000001</v>
      </c>
      <c r="P363" s="44">
        <v>20.228639999999999</v>
      </c>
    </row>
    <row r="364" spans="1:16" x14ac:dyDescent="0.45">
      <c r="A364" s="47">
        <v>40703</v>
      </c>
      <c r="B364" s="43">
        <v>22.992159999999998</v>
      </c>
      <c r="C364" s="43">
        <v>55.393189999999997</v>
      </c>
      <c r="D364" s="43">
        <v>11.9658</v>
      </c>
      <c r="E364" s="43">
        <v>31.29</v>
      </c>
      <c r="F364" s="43">
        <v>25.661950000000001</v>
      </c>
      <c r="G364" s="43">
        <v>40.575850000000003</v>
      </c>
      <c r="H364" s="43">
        <v>21.110600000000002</v>
      </c>
      <c r="I364" s="43">
        <v>14.783440000000001</v>
      </c>
      <c r="J364" s="43">
        <v>46.0413</v>
      </c>
      <c r="K364" s="43">
        <v>32.108199999999997</v>
      </c>
      <c r="L364" s="43">
        <v>8.4376800000000003</v>
      </c>
      <c r="M364" s="43">
        <v>9.8830299999999998</v>
      </c>
      <c r="N364" s="43">
        <v>15.518219999999999</v>
      </c>
      <c r="O364" s="43">
        <v>15.09244</v>
      </c>
      <c r="P364" s="44">
        <v>20.228639999999999</v>
      </c>
    </row>
    <row r="365" spans="1:16" x14ac:dyDescent="0.45">
      <c r="A365" s="47">
        <v>40704</v>
      </c>
      <c r="B365" s="43">
        <v>22.31212</v>
      </c>
      <c r="C365" s="43">
        <v>55.461739999999999</v>
      </c>
      <c r="D365" s="43">
        <v>11.925800000000001</v>
      </c>
      <c r="E365" s="43">
        <v>30.68</v>
      </c>
      <c r="F365" s="43">
        <v>25.661950000000001</v>
      </c>
      <c r="G365" s="43">
        <v>40.491840000000003</v>
      </c>
      <c r="H365" s="43">
        <v>21.110600000000002</v>
      </c>
      <c r="I365" s="43">
        <v>14.512969999999999</v>
      </c>
      <c r="J365" s="43">
        <v>45.839700000000001</v>
      </c>
      <c r="K365" s="43">
        <v>31.993099999999998</v>
      </c>
      <c r="L365" s="43">
        <v>8.2760300000000004</v>
      </c>
      <c r="M365" s="43">
        <v>9.67361</v>
      </c>
      <c r="N365" s="43">
        <v>15.213950000000001</v>
      </c>
      <c r="O365" s="43">
        <v>14.90915</v>
      </c>
      <c r="P365" s="44">
        <v>21.256589999999999</v>
      </c>
    </row>
    <row r="366" spans="1:16" x14ac:dyDescent="0.45">
      <c r="A366" s="47">
        <v>40707</v>
      </c>
      <c r="B366" s="43">
        <v>21.95589</v>
      </c>
      <c r="C366" s="43">
        <v>55.324629999999999</v>
      </c>
      <c r="D366" s="43">
        <v>11.7257</v>
      </c>
      <c r="E366" s="43">
        <v>30.26</v>
      </c>
      <c r="F366" s="43">
        <v>25.436129999999999</v>
      </c>
      <c r="G366" s="43">
        <v>38.349589999999999</v>
      </c>
      <c r="H366" s="43">
        <v>20.311579999999999</v>
      </c>
      <c r="I366" s="43">
        <v>15.05382</v>
      </c>
      <c r="J366" s="43">
        <v>45.839700000000001</v>
      </c>
      <c r="K366" s="43">
        <v>31.456</v>
      </c>
      <c r="L366" s="43">
        <v>8.0174099999999999</v>
      </c>
      <c r="M366" s="43">
        <v>9.5061400000000003</v>
      </c>
      <c r="N366" s="43">
        <v>15.061870000000001</v>
      </c>
      <c r="O366" s="43">
        <v>14.573040000000001</v>
      </c>
      <c r="P366" s="44">
        <v>21.697140000000001</v>
      </c>
    </row>
    <row r="367" spans="1:16" x14ac:dyDescent="0.45">
      <c r="A367" s="47">
        <v>40708</v>
      </c>
      <c r="B367" s="43">
        <v>22.150220000000001</v>
      </c>
      <c r="C367" s="43">
        <v>56.215859999999999</v>
      </c>
      <c r="D367" s="43">
        <v>11.8057</v>
      </c>
      <c r="E367" s="43">
        <v>30.49</v>
      </c>
      <c r="F367" s="43">
        <v>25.699539999999999</v>
      </c>
      <c r="G367" s="43">
        <v>39.105710000000002</v>
      </c>
      <c r="H367" s="43">
        <v>20.269539999999999</v>
      </c>
      <c r="I367" s="43">
        <v>15.05382</v>
      </c>
      <c r="J367" s="43">
        <v>45.9741</v>
      </c>
      <c r="K367" s="43">
        <v>31.494399999999999</v>
      </c>
      <c r="L367" s="43">
        <v>8.1467200000000002</v>
      </c>
      <c r="M367" s="43">
        <v>9.5898800000000008</v>
      </c>
      <c r="N367" s="43">
        <v>15.137869999999999</v>
      </c>
      <c r="O367" s="43">
        <v>14.6036</v>
      </c>
      <c r="P367" s="44">
        <v>21.73386</v>
      </c>
    </row>
    <row r="368" spans="1:16" x14ac:dyDescent="0.45">
      <c r="A368" s="47">
        <v>40709</v>
      </c>
      <c r="B368" s="43">
        <v>21.85876</v>
      </c>
      <c r="C368" s="43">
        <v>56.147300000000001</v>
      </c>
      <c r="D368" s="43">
        <v>11.845700000000001</v>
      </c>
      <c r="E368" s="43">
        <v>30.3</v>
      </c>
      <c r="F368" s="43">
        <v>25.925360000000001</v>
      </c>
      <c r="G368" s="43">
        <v>38.349589999999999</v>
      </c>
      <c r="H368" s="43">
        <v>19.59667</v>
      </c>
      <c r="I368" s="43">
        <v>15.26412</v>
      </c>
      <c r="J368" s="43">
        <v>47.116700000000002</v>
      </c>
      <c r="K368" s="43">
        <v>31.878</v>
      </c>
      <c r="L368" s="43">
        <v>7.98508</v>
      </c>
      <c r="M368" s="43">
        <v>9.5061400000000003</v>
      </c>
      <c r="N368" s="43">
        <v>15.099869999999999</v>
      </c>
      <c r="O368" s="43">
        <v>14.35918</v>
      </c>
      <c r="P368" s="44">
        <v>22.027560000000001</v>
      </c>
    </row>
    <row r="369" spans="1:16" x14ac:dyDescent="0.45">
      <c r="A369" s="47">
        <v>40710</v>
      </c>
      <c r="B369" s="43">
        <v>21.243500000000001</v>
      </c>
      <c r="C369" s="43">
        <v>56.078749999999999</v>
      </c>
      <c r="D369" s="43">
        <v>11.525600000000001</v>
      </c>
      <c r="E369" s="43">
        <v>30.02</v>
      </c>
      <c r="F369" s="43">
        <v>25.661950000000001</v>
      </c>
      <c r="G369" s="43">
        <v>37.131500000000003</v>
      </c>
      <c r="H369" s="43">
        <v>19.007899999999999</v>
      </c>
      <c r="I369" s="43">
        <v>15.32429</v>
      </c>
      <c r="J369" s="43">
        <v>45.9741</v>
      </c>
      <c r="K369" s="43">
        <v>31.6861</v>
      </c>
      <c r="L369" s="43">
        <v>7.8557699999999997</v>
      </c>
      <c r="M369" s="43">
        <v>9.3804599999999994</v>
      </c>
      <c r="N369" s="43">
        <v>14.7956</v>
      </c>
      <c r="O369" s="43">
        <v>13.96204</v>
      </c>
      <c r="P369" s="44">
        <v>21.18317</v>
      </c>
    </row>
    <row r="370" spans="1:16" x14ac:dyDescent="0.45">
      <c r="A370" s="47">
        <v>40711</v>
      </c>
      <c r="B370" s="43">
        <v>21.243500000000001</v>
      </c>
      <c r="C370" s="43">
        <v>56.352969999999999</v>
      </c>
      <c r="D370" s="43">
        <v>11.445499999999999</v>
      </c>
      <c r="E370" s="43">
        <v>30.02</v>
      </c>
      <c r="F370" s="43">
        <v>25.436129999999999</v>
      </c>
      <c r="G370" s="43">
        <v>36.963470000000001</v>
      </c>
      <c r="H370" s="43">
        <v>19.260190000000001</v>
      </c>
      <c r="I370" s="43">
        <v>16.10547</v>
      </c>
      <c r="J370" s="43">
        <v>47.721600000000002</v>
      </c>
      <c r="K370" s="43">
        <v>32.069800000000001</v>
      </c>
      <c r="L370" s="43">
        <v>7.8234399999999997</v>
      </c>
      <c r="M370" s="43">
        <v>9.4642700000000008</v>
      </c>
      <c r="N370" s="43">
        <v>14.60543</v>
      </c>
      <c r="O370" s="43">
        <v>14.05364</v>
      </c>
      <c r="P370" s="44">
        <v>21.18317</v>
      </c>
    </row>
    <row r="371" spans="1:16" x14ac:dyDescent="0.45">
      <c r="A371" s="47">
        <v>40714</v>
      </c>
      <c r="B371" s="43">
        <v>21.211079999999999</v>
      </c>
      <c r="C371" s="43">
        <v>53.542169999999999</v>
      </c>
      <c r="D371" s="43">
        <v>11.365500000000001</v>
      </c>
      <c r="E371" s="43">
        <v>28.7</v>
      </c>
      <c r="F371" s="43">
        <v>25.54908</v>
      </c>
      <c r="G371" s="43">
        <v>37.005470000000003</v>
      </c>
      <c r="H371" s="43">
        <v>19.091989999999999</v>
      </c>
      <c r="I371" s="43">
        <v>15.925219999999999</v>
      </c>
      <c r="J371" s="43">
        <v>48.528199999999998</v>
      </c>
      <c r="K371" s="43">
        <v>32.299900000000001</v>
      </c>
      <c r="L371" s="43">
        <v>7.8234399999999997</v>
      </c>
      <c r="M371" s="43">
        <v>9.4642700000000008</v>
      </c>
      <c r="N371" s="43">
        <v>14.453250000000001</v>
      </c>
      <c r="O371" s="43">
        <v>13.87035</v>
      </c>
      <c r="P371" s="44">
        <v>21.770569999999999</v>
      </c>
    </row>
    <row r="372" spans="1:16" x14ac:dyDescent="0.45">
      <c r="A372" s="47">
        <v>40715</v>
      </c>
      <c r="B372" s="43">
        <v>21.567309999999999</v>
      </c>
      <c r="C372" s="43">
        <v>53.199390000000001</v>
      </c>
      <c r="D372" s="43">
        <v>11.445499999999999</v>
      </c>
      <c r="E372" s="43">
        <v>28.99</v>
      </c>
      <c r="F372" s="43">
        <v>25.62435</v>
      </c>
      <c r="G372" s="43">
        <v>37.25752</v>
      </c>
      <c r="H372" s="43">
        <v>19.344380000000001</v>
      </c>
      <c r="I372" s="43">
        <v>16.796610000000001</v>
      </c>
      <c r="J372" s="43">
        <v>48.259300000000003</v>
      </c>
      <c r="K372" s="43">
        <v>32.837000000000003</v>
      </c>
      <c r="L372" s="43">
        <v>7.92042</v>
      </c>
      <c r="M372" s="43">
        <v>9.5480099999999997</v>
      </c>
      <c r="N372" s="43">
        <v>14.56743</v>
      </c>
      <c r="O372" s="43">
        <v>13.96204</v>
      </c>
      <c r="P372" s="44">
        <v>20.375489999999999</v>
      </c>
    </row>
    <row r="373" spans="1:16" x14ac:dyDescent="0.45">
      <c r="A373" s="47">
        <v>40716</v>
      </c>
      <c r="B373" s="43">
        <v>21.793990000000001</v>
      </c>
      <c r="C373" s="43">
        <v>52.582389999999997</v>
      </c>
      <c r="D373" s="43">
        <v>11.445499999999999</v>
      </c>
      <c r="E373" s="43">
        <v>29.03</v>
      </c>
      <c r="F373" s="43">
        <v>25.511410000000001</v>
      </c>
      <c r="G373" s="43">
        <v>37.761600000000001</v>
      </c>
      <c r="H373" s="43">
        <v>19.134039999999999</v>
      </c>
      <c r="I373" s="43">
        <v>16.976870000000002</v>
      </c>
      <c r="J373" s="43">
        <v>47.721600000000002</v>
      </c>
      <c r="K373" s="43">
        <v>33.489100000000001</v>
      </c>
      <c r="L373" s="43">
        <v>7.95275</v>
      </c>
      <c r="M373" s="43">
        <v>9.5480099999999997</v>
      </c>
      <c r="N373" s="43">
        <v>14.453250000000001</v>
      </c>
      <c r="O373" s="43">
        <v>14.328620000000001</v>
      </c>
      <c r="P373" s="44">
        <v>20.999610000000001</v>
      </c>
    </row>
    <row r="374" spans="1:16" x14ac:dyDescent="0.45">
      <c r="A374" s="47">
        <v>40717</v>
      </c>
      <c r="B374" s="43">
        <v>21.308199999999999</v>
      </c>
      <c r="C374" s="43">
        <v>54.570509999999999</v>
      </c>
      <c r="D374" s="43">
        <v>11.365500000000001</v>
      </c>
      <c r="E374" s="43">
        <v>29.32</v>
      </c>
      <c r="F374" s="43">
        <v>25.62435</v>
      </c>
      <c r="G374" s="43">
        <v>38.517620000000001</v>
      </c>
      <c r="H374" s="43">
        <v>18.713560000000001</v>
      </c>
      <c r="I374" s="43">
        <v>16.946829999999999</v>
      </c>
      <c r="J374" s="43">
        <v>47.990499999999997</v>
      </c>
      <c r="K374" s="43">
        <v>33.0672</v>
      </c>
      <c r="L374" s="43">
        <v>7.8557699999999997</v>
      </c>
      <c r="M374" s="43">
        <v>9.4642700000000008</v>
      </c>
      <c r="N374" s="43">
        <v>14.37717</v>
      </c>
      <c r="O374" s="43">
        <v>14.26749</v>
      </c>
      <c r="P374" s="44">
        <v>20.559049999999999</v>
      </c>
    </row>
    <row r="375" spans="1:16" x14ac:dyDescent="0.45">
      <c r="A375" s="47">
        <v>40718</v>
      </c>
      <c r="B375" s="43">
        <v>20.725370000000002</v>
      </c>
      <c r="C375" s="43">
        <v>52.445279999999997</v>
      </c>
      <c r="D375" s="43">
        <v>11.2454</v>
      </c>
      <c r="E375" s="43">
        <v>29.6</v>
      </c>
      <c r="F375" s="43">
        <v>25.586680000000001</v>
      </c>
      <c r="G375" s="43">
        <v>38.349589999999999</v>
      </c>
      <c r="H375" s="43">
        <v>19.007899999999999</v>
      </c>
      <c r="I375" s="43">
        <v>17.968430000000001</v>
      </c>
      <c r="J375" s="43">
        <v>48.393700000000003</v>
      </c>
      <c r="K375" s="43">
        <v>32.875399999999999</v>
      </c>
      <c r="L375" s="43">
        <v>7.7264600000000003</v>
      </c>
      <c r="M375" s="43">
        <v>9.4642700000000008</v>
      </c>
      <c r="N375" s="43">
        <v>14.33916</v>
      </c>
      <c r="O375" s="43">
        <v>14.29806</v>
      </c>
      <c r="P375" s="44">
        <v>20.632480000000001</v>
      </c>
    </row>
    <row r="376" spans="1:16" x14ac:dyDescent="0.45">
      <c r="A376" s="47">
        <v>40721</v>
      </c>
      <c r="B376" s="43">
        <v>20.077680000000001</v>
      </c>
      <c r="C376" s="43">
        <v>51.759720000000002</v>
      </c>
      <c r="D376" s="43">
        <v>11.1654</v>
      </c>
      <c r="E376" s="43">
        <v>29.74</v>
      </c>
      <c r="F376" s="43">
        <v>25.436129999999999</v>
      </c>
      <c r="G376" s="43">
        <v>40.197789999999998</v>
      </c>
      <c r="H376" s="43">
        <v>18.96585</v>
      </c>
      <c r="I376" s="43">
        <v>17.006910000000001</v>
      </c>
      <c r="J376" s="43">
        <v>48.326500000000003</v>
      </c>
      <c r="K376" s="43">
        <v>33.105499999999999</v>
      </c>
      <c r="L376" s="43">
        <v>7.7264600000000003</v>
      </c>
      <c r="M376" s="43">
        <v>9.5480099999999997</v>
      </c>
      <c r="N376" s="43">
        <v>14.37717</v>
      </c>
      <c r="O376" s="43">
        <v>14.328620000000001</v>
      </c>
      <c r="P376" s="44">
        <v>21.16938</v>
      </c>
    </row>
    <row r="377" spans="1:16" x14ac:dyDescent="0.45">
      <c r="A377" s="47">
        <v>40722</v>
      </c>
      <c r="B377" s="43">
        <v>20.59582</v>
      </c>
      <c r="C377" s="43">
        <v>51.142719999999997</v>
      </c>
      <c r="D377" s="43">
        <v>11.205399999999999</v>
      </c>
      <c r="E377" s="43">
        <v>29.74</v>
      </c>
      <c r="F377" s="43">
        <v>25.2104</v>
      </c>
      <c r="G377" s="43">
        <v>40.323810000000002</v>
      </c>
      <c r="H377" s="43">
        <v>19.218139999999998</v>
      </c>
      <c r="I377" s="43">
        <v>16.8567</v>
      </c>
      <c r="J377" s="43">
        <v>47.990499999999997</v>
      </c>
      <c r="K377" s="43">
        <v>32.568399999999997</v>
      </c>
      <c r="L377" s="43">
        <v>7.6294700000000004</v>
      </c>
      <c r="M377" s="43">
        <v>9.5061400000000003</v>
      </c>
      <c r="N377" s="43">
        <v>14.41525</v>
      </c>
      <c r="O377" s="43">
        <v>14.26749</v>
      </c>
      <c r="P377" s="44">
        <v>20.747530000000001</v>
      </c>
    </row>
    <row r="378" spans="1:16" x14ac:dyDescent="0.45">
      <c r="A378" s="47">
        <v>40723</v>
      </c>
      <c r="B378" s="43">
        <v>20.271930000000001</v>
      </c>
      <c r="C378" s="43">
        <v>51.759720000000002</v>
      </c>
      <c r="D378" s="43">
        <v>11.4055</v>
      </c>
      <c r="E378" s="43">
        <v>30.12</v>
      </c>
      <c r="F378" s="43">
        <v>25.586680000000001</v>
      </c>
      <c r="G378" s="43">
        <v>41.121839999999999</v>
      </c>
      <c r="H378" s="43">
        <v>19.260190000000001</v>
      </c>
      <c r="I378" s="43">
        <v>17.788180000000001</v>
      </c>
      <c r="J378" s="43">
        <v>48.326500000000003</v>
      </c>
      <c r="K378" s="43">
        <v>33.335700000000003</v>
      </c>
      <c r="L378" s="43">
        <v>8.0174099999999999</v>
      </c>
      <c r="M378" s="43">
        <v>9.67361</v>
      </c>
      <c r="N378" s="43">
        <v>14.719519999999999</v>
      </c>
      <c r="O378" s="43">
        <v>14.35918</v>
      </c>
      <c r="P378" s="44">
        <v>21.782990000000002</v>
      </c>
    </row>
    <row r="379" spans="1:16" x14ac:dyDescent="0.45">
      <c r="A379" s="47">
        <v>40724</v>
      </c>
      <c r="B379" s="43">
        <v>20.401489999999999</v>
      </c>
      <c r="C379" s="43">
        <v>52.171059999999997</v>
      </c>
      <c r="D379" s="43">
        <v>11.4055</v>
      </c>
      <c r="E379" s="43">
        <v>30.63</v>
      </c>
      <c r="F379" s="43">
        <v>26.038219999999999</v>
      </c>
      <c r="G379" s="43">
        <v>42.424050000000001</v>
      </c>
      <c r="H379" s="43">
        <v>19.428470000000001</v>
      </c>
      <c r="I379" s="43">
        <v>17.607839999999999</v>
      </c>
      <c r="J379" s="43">
        <v>48.124899999999997</v>
      </c>
      <c r="K379" s="43">
        <v>33.872700000000002</v>
      </c>
      <c r="L379" s="43">
        <v>8.0174099999999999</v>
      </c>
      <c r="M379" s="43">
        <v>9.7574299999999994</v>
      </c>
      <c r="N379" s="43">
        <v>15.137869999999999</v>
      </c>
      <c r="O379" s="43">
        <v>14.51191</v>
      </c>
      <c r="P379" s="44">
        <v>22.089790000000001</v>
      </c>
    </row>
    <row r="380" spans="1:16" ht="16.5" thickBot="1" x14ac:dyDescent="0.5">
      <c r="A380" s="50">
        <v>40725</v>
      </c>
      <c r="B380" s="45">
        <v>20.725370000000002</v>
      </c>
      <c r="C380" s="45">
        <v>52.445279999999997</v>
      </c>
      <c r="D380" s="45">
        <v>11.4055</v>
      </c>
      <c r="E380" s="45">
        <v>30.59</v>
      </c>
      <c r="F380" s="45">
        <v>26.188770000000002</v>
      </c>
      <c r="G380" s="45">
        <v>42.59198</v>
      </c>
      <c r="H380" s="45">
        <v>19.51257</v>
      </c>
      <c r="I380" s="45">
        <v>17.607839999999999</v>
      </c>
      <c r="J380" s="45">
        <v>49.334800000000001</v>
      </c>
      <c r="K380" s="45">
        <v>34.524900000000002</v>
      </c>
      <c r="L380" s="45">
        <v>8.0497399999999999</v>
      </c>
      <c r="M380" s="45">
        <v>9.7993000000000006</v>
      </c>
      <c r="N380" s="45">
        <v>15.290039999999999</v>
      </c>
      <c r="O380" s="45">
        <v>14.84802</v>
      </c>
      <c r="P380" s="46">
        <v>22.319890000000001</v>
      </c>
    </row>
    <row r="381" spans="1:16" x14ac:dyDescent="0.45">
      <c r="A381" s="1"/>
    </row>
    <row r="382" spans="1:16" x14ac:dyDescent="0.45">
      <c r="A382" s="1"/>
    </row>
    <row r="383" spans="1:16" x14ac:dyDescent="0.45">
      <c r="A383" s="1"/>
    </row>
    <row r="384" spans="1:16" x14ac:dyDescent="0.45">
      <c r="A384" s="1"/>
    </row>
    <row r="385" spans="1:1" x14ac:dyDescent="0.45">
      <c r="A385" s="1"/>
    </row>
    <row r="386" spans="1:1" x14ac:dyDescent="0.45">
      <c r="A386" s="1"/>
    </row>
    <row r="387" spans="1:1" x14ac:dyDescent="0.45">
      <c r="A387" s="1"/>
    </row>
    <row r="388" spans="1:1" x14ac:dyDescent="0.45">
      <c r="A388" s="1"/>
    </row>
    <row r="389" spans="1:1" x14ac:dyDescent="0.45">
      <c r="A389" s="1"/>
    </row>
    <row r="390" spans="1:1" x14ac:dyDescent="0.45">
      <c r="A390" s="1"/>
    </row>
    <row r="391" spans="1:1" x14ac:dyDescent="0.45">
      <c r="A391" s="1"/>
    </row>
    <row r="392" spans="1:1" x14ac:dyDescent="0.45">
      <c r="A392" s="1"/>
    </row>
    <row r="393" spans="1:1" x14ac:dyDescent="0.45">
      <c r="A393" s="1"/>
    </row>
    <row r="394" spans="1:1" x14ac:dyDescent="0.45">
      <c r="A394" s="1"/>
    </row>
    <row r="395" spans="1:1" x14ac:dyDescent="0.45">
      <c r="A395" s="1"/>
    </row>
    <row r="396" spans="1:1" x14ac:dyDescent="0.45">
      <c r="A396" s="1"/>
    </row>
    <row r="397" spans="1:1" x14ac:dyDescent="0.45">
      <c r="A397" s="1"/>
    </row>
    <row r="398" spans="1:1" x14ac:dyDescent="0.45">
      <c r="A398" s="1"/>
    </row>
    <row r="399" spans="1:1" x14ac:dyDescent="0.45">
      <c r="A399" s="1"/>
    </row>
    <row r="400" spans="1:1" x14ac:dyDescent="0.45">
      <c r="A400" s="1"/>
    </row>
    <row r="401" spans="1:1" x14ac:dyDescent="0.45">
      <c r="A401" s="1"/>
    </row>
    <row r="402" spans="1:1" x14ac:dyDescent="0.45">
      <c r="A402" s="1"/>
    </row>
    <row r="403" spans="1:1" x14ac:dyDescent="0.45">
      <c r="A403" s="1"/>
    </row>
    <row r="404" spans="1:1" x14ac:dyDescent="0.45">
      <c r="A404" s="1"/>
    </row>
    <row r="405" spans="1:1" x14ac:dyDescent="0.45">
      <c r="A405" s="1"/>
    </row>
    <row r="406" spans="1:1" x14ac:dyDescent="0.45">
      <c r="A406" s="1"/>
    </row>
    <row r="407" spans="1:1" x14ac:dyDescent="0.45">
      <c r="A407" s="1"/>
    </row>
    <row r="408" spans="1:1" x14ac:dyDescent="0.45">
      <c r="A408" s="1"/>
    </row>
    <row r="409" spans="1:1" x14ac:dyDescent="0.45">
      <c r="A409" s="1"/>
    </row>
    <row r="410" spans="1:1" x14ac:dyDescent="0.45">
      <c r="A410" s="1"/>
    </row>
    <row r="411" spans="1:1" x14ac:dyDescent="0.45">
      <c r="A411" s="1"/>
    </row>
    <row r="412" spans="1:1" x14ac:dyDescent="0.45">
      <c r="A412" s="1"/>
    </row>
    <row r="413" spans="1:1" x14ac:dyDescent="0.45">
      <c r="A413" s="1"/>
    </row>
    <row r="414" spans="1:1" x14ac:dyDescent="0.45">
      <c r="A414" s="1"/>
    </row>
    <row r="415" spans="1:1" x14ac:dyDescent="0.45">
      <c r="A415" s="1"/>
    </row>
    <row r="416" spans="1:1" x14ac:dyDescent="0.45">
      <c r="A416" s="1"/>
    </row>
    <row r="417" spans="1:1" x14ac:dyDescent="0.45">
      <c r="A417" s="1"/>
    </row>
    <row r="418" spans="1:1" x14ac:dyDescent="0.45">
      <c r="A418" s="1"/>
    </row>
    <row r="419" spans="1:1" x14ac:dyDescent="0.45">
      <c r="A419" s="1"/>
    </row>
    <row r="420" spans="1:1" x14ac:dyDescent="0.45">
      <c r="A420" s="1"/>
    </row>
    <row r="421" spans="1:1" x14ac:dyDescent="0.45">
      <c r="A421" s="1"/>
    </row>
    <row r="422" spans="1:1" x14ac:dyDescent="0.45">
      <c r="A422" s="1"/>
    </row>
    <row r="423" spans="1:1" x14ac:dyDescent="0.45">
      <c r="A423" s="1"/>
    </row>
    <row r="424" spans="1:1" x14ac:dyDescent="0.45">
      <c r="A424" s="1"/>
    </row>
    <row r="425" spans="1:1" x14ac:dyDescent="0.45">
      <c r="A425" s="1"/>
    </row>
    <row r="426" spans="1:1" x14ac:dyDescent="0.45">
      <c r="A426" s="1"/>
    </row>
    <row r="427" spans="1:1" x14ac:dyDescent="0.45">
      <c r="A427" s="1"/>
    </row>
    <row r="428" spans="1:1" x14ac:dyDescent="0.45">
      <c r="A428" s="1"/>
    </row>
    <row r="429" spans="1:1" x14ac:dyDescent="0.45">
      <c r="A429" s="1"/>
    </row>
    <row r="430" spans="1:1" x14ac:dyDescent="0.45">
      <c r="A430" s="1"/>
    </row>
    <row r="431" spans="1:1" x14ac:dyDescent="0.45">
      <c r="A431" s="1"/>
    </row>
    <row r="432" spans="1:1" x14ac:dyDescent="0.45">
      <c r="A432" s="1"/>
    </row>
    <row r="433" spans="1:1" x14ac:dyDescent="0.45">
      <c r="A433" s="1"/>
    </row>
    <row r="434" spans="1:1" x14ac:dyDescent="0.45">
      <c r="A434" s="1"/>
    </row>
    <row r="435" spans="1:1" x14ac:dyDescent="0.45">
      <c r="A435" s="1"/>
    </row>
    <row r="436" spans="1:1" x14ac:dyDescent="0.45">
      <c r="A436" s="1"/>
    </row>
    <row r="437" spans="1:1" x14ac:dyDescent="0.45">
      <c r="A437" s="1"/>
    </row>
    <row r="438" spans="1:1" x14ac:dyDescent="0.45">
      <c r="A438" s="1"/>
    </row>
    <row r="439" spans="1:1" x14ac:dyDescent="0.45">
      <c r="A439" s="1"/>
    </row>
    <row r="440" spans="1:1" x14ac:dyDescent="0.45">
      <c r="A440" s="1"/>
    </row>
    <row r="441" spans="1:1" x14ac:dyDescent="0.45">
      <c r="A441" s="1"/>
    </row>
    <row r="442" spans="1:1" x14ac:dyDescent="0.45">
      <c r="A442" s="1"/>
    </row>
    <row r="443" spans="1:1" x14ac:dyDescent="0.45">
      <c r="A443" s="1"/>
    </row>
    <row r="444" spans="1:1" x14ac:dyDescent="0.45">
      <c r="A444" s="1"/>
    </row>
    <row r="445" spans="1:1" x14ac:dyDescent="0.45">
      <c r="A445" s="1"/>
    </row>
    <row r="446" spans="1:1" x14ac:dyDescent="0.45">
      <c r="A446" s="1"/>
    </row>
    <row r="447" spans="1:1" x14ac:dyDescent="0.45">
      <c r="A447" s="1"/>
    </row>
    <row r="448" spans="1:1" x14ac:dyDescent="0.45">
      <c r="A448" s="1"/>
    </row>
    <row r="449" spans="1:1" x14ac:dyDescent="0.45">
      <c r="A449" s="1"/>
    </row>
    <row r="450" spans="1:1" x14ac:dyDescent="0.45">
      <c r="A450" s="1"/>
    </row>
    <row r="451" spans="1:1" x14ac:dyDescent="0.45">
      <c r="A451" s="1"/>
    </row>
    <row r="452" spans="1:1" x14ac:dyDescent="0.45">
      <c r="A452" s="1"/>
    </row>
    <row r="453" spans="1:1" x14ac:dyDescent="0.45">
      <c r="A453" s="1"/>
    </row>
    <row r="454" spans="1:1" x14ac:dyDescent="0.45">
      <c r="A454" s="1"/>
    </row>
    <row r="455" spans="1:1" x14ac:dyDescent="0.45">
      <c r="A455" s="1"/>
    </row>
    <row r="456" spans="1:1" x14ac:dyDescent="0.45">
      <c r="A456" s="1"/>
    </row>
    <row r="457" spans="1:1" x14ac:dyDescent="0.45">
      <c r="A457" s="1"/>
    </row>
    <row r="458" spans="1:1" x14ac:dyDescent="0.45">
      <c r="A458" s="1"/>
    </row>
    <row r="459" spans="1:1" x14ac:dyDescent="0.45">
      <c r="A459" s="1"/>
    </row>
    <row r="460" spans="1:1" x14ac:dyDescent="0.45">
      <c r="A460" s="1"/>
    </row>
    <row r="461" spans="1:1" x14ac:dyDescent="0.45">
      <c r="A461" s="1"/>
    </row>
    <row r="462" spans="1:1" x14ac:dyDescent="0.45">
      <c r="A462" s="1"/>
    </row>
    <row r="463" spans="1:1" x14ac:dyDescent="0.45">
      <c r="A463" s="1"/>
    </row>
    <row r="464" spans="1:1" x14ac:dyDescent="0.45">
      <c r="A464" s="1"/>
    </row>
    <row r="465" spans="1:1" x14ac:dyDescent="0.45">
      <c r="A465" s="1"/>
    </row>
    <row r="466" spans="1:1" x14ac:dyDescent="0.45">
      <c r="A466" s="1"/>
    </row>
    <row r="467" spans="1:1" x14ac:dyDescent="0.45">
      <c r="A467" s="1"/>
    </row>
    <row r="468" spans="1:1" x14ac:dyDescent="0.45">
      <c r="A468" s="1"/>
    </row>
    <row r="469" spans="1:1" x14ac:dyDescent="0.45">
      <c r="A469" s="1"/>
    </row>
    <row r="470" spans="1:1" x14ac:dyDescent="0.45">
      <c r="A470" s="1"/>
    </row>
    <row r="471" spans="1:1" x14ac:dyDescent="0.45">
      <c r="A471" s="1"/>
    </row>
    <row r="472" spans="1:1" x14ac:dyDescent="0.45">
      <c r="A472" s="1"/>
    </row>
    <row r="473" spans="1:1" x14ac:dyDescent="0.45">
      <c r="A473" s="1"/>
    </row>
    <row r="474" spans="1:1" x14ac:dyDescent="0.45">
      <c r="A474" s="1"/>
    </row>
    <row r="475" spans="1:1" x14ac:dyDescent="0.45">
      <c r="A475" s="1"/>
    </row>
    <row r="476" spans="1:1" x14ac:dyDescent="0.45">
      <c r="A476" s="1"/>
    </row>
    <row r="477" spans="1:1" x14ac:dyDescent="0.45">
      <c r="A477" s="1"/>
    </row>
    <row r="478" spans="1:1" x14ac:dyDescent="0.45">
      <c r="A478" s="1"/>
    </row>
    <row r="479" spans="1:1" x14ac:dyDescent="0.45">
      <c r="A479" s="1"/>
    </row>
    <row r="480" spans="1:1" x14ac:dyDescent="0.45">
      <c r="A480" s="1"/>
    </row>
    <row r="481" spans="1:1" x14ac:dyDescent="0.45">
      <c r="A481" s="1"/>
    </row>
    <row r="482" spans="1:1" x14ac:dyDescent="0.45">
      <c r="A482" s="1"/>
    </row>
    <row r="483" spans="1:1" x14ac:dyDescent="0.45">
      <c r="A483" s="1"/>
    </row>
    <row r="484" spans="1:1" x14ac:dyDescent="0.45">
      <c r="A484" s="1"/>
    </row>
    <row r="485" spans="1:1" x14ac:dyDescent="0.45">
      <c r="A485" s="1"/>
    </row>
    <row r="486" spans="1:1" x14ac:dyDescent="0.45">
      <c r="A486" s="1"/>
    </row>
    <row r="487" spans="1:1" x14ac:dyDescent="0.45">
      <c r="A487" s="1"/>
    </row>
    <row r="488" spans="1:1" x14ac:dyDescent="0.45">
      <c r="A488" s="1"/>
    </row>
    <row r="489" spans="1:1" x14ac:dyDescent="0.45">
      <c r="A489" s="1"/>
    </row>
    <row r="490" spans="1:1" x14ac:dyDescent="0.45">
      <c r="A490" s="1"/>
    </row>
    <row r="491" spans="1:1" x14ac:dyDescent="0.45">
      <c r="A491" s="1"/>
    </row>
    <row r="492" spans="1:1" x14ac:dyDescent="0.45">
      <c r="A492" s="1"/>
    </row>
    <row r="493" spans="1:1" x14ac:dyDescent="0.45">
      <c r="A493" s="1"/>
    </row>
    <row r="494" spans="1:1" x14ac:dyDescent="0.45">
      <c r="A494" s="1"/>
    </row>
    <row r="495" spans="1:1" x14ac:dyDescent="0.45">
      <c r="A495" s="1"/>
    </row>
    <row r="496" spans="1:1" x14ac:dyDescent="0.45">
      <c r="A496" s="1"/>
    </row>
    <row r="497" spans="1:1" x14ac:dyDescent="0.45">
      <c r="A497" s="1"/>
    </row>
    <row r="498" spans="1:1" x14ac:dyDescent="0.45">
      <c r="A498" s="1"/>
    </row>
    <row r="499" spans="1:1" x14ac:dyDescent="0.45">
      <c r="A499" s="1"/>
    </row>
    <row r="500" spans="1:1" x14ac:dyDescent="0.45">
      <c r="A500" s="1"/>
    </row>
    <row r="501" spans="1:1" x14ac:dyDescent="0.45">
      <c r="A501" s="1"/>
    </row>
    <row r="502" spans="1:1" x14ac:dyDescent="0.45">
      <c r="A502" s="1"/>
    </row>
    <row r="503" spans="1:1" x14ac:dyDescent="0.45">
      <c r="A503" s="1"/>
    </row>
    <row r="504" spans="1:1" x14ac:dyDescent="0.45">
      <c r="A504" s="1"/>
    </row>
    <row r="505" spans="1:1" x14ac:dyDescent="0.45">
      <c r="A505" s="1"/>
    </row>
    <row r="506" spans="1:1" x14ac:dyDescent="0.45">
      <c r="A506" s="1"/>
    </row>
    <row r="507" spans="1:1" x14ac:dyDescent="0.45">
      <c r="A507" s="1"/>
    </row>
    <row r="508" spans="1:1" x14ac:dyDescent="0.45">
      <c r="A508" s="1"/>
    </row>
    <row r="509" spans="1:1" x14ac:dyDescent="0.45">
      <c r="A509" s="1"/>
    </row>
    <row r="510" spans="1:1" x14ac:dyDescent="0.45">
      <c r="A510" s="1"/>
    </row>
    <row r="511" spans="1:1" x14ac:dyDescent="0.45">
      <c r="A511" s="1"/>
    </row>
    <row r="512" spans="1:1" x14ac:dyDescent="0.45">
      <c r="A512" s="1"/>
    </row>
    <row r="513" spans="1:1" x14ac:dyDescent="0.45">
      <c r="A513" s="1"/>
    </row>
    <row r="514" spans="1:1" x14ac:dyDescent="0.45">
      <c r="A514" s="1"/>
    </row>
    <row r="515" spans="1:1" x14ac:dyDescent="0.45">
      <c r="A515" s="1"/>
    </row>
    <row r="516" spans="1:1" x14ac:dyDescent="0.45">
      <c r="A516" s="1"/>
    </row>
    <row r="517" spans="1:1" x14ac:dyDescent="0.45">
      <c r="A517" s="1"/>
    </row>
    <row r="518" spans="1:1" x14ac:dyDescent="0.45">
      <c r="A518" s="1"/>
    </row>
    <row r="519" spans="1:1" x14ac:dyDescent="0.45">
      <c r="A519" s="1"/>
    </row>
    <row r="520" spans="1:1" x14ac:dyDescent="0.45">
      <c r="A520" s="1"/>
    </row>
    <row r="521" spans="1:1" x14ac:dyDescent="0.45">
      <c r="A521" s="1"/>
    </row>
    <row r="522" spans="1:1" x14ac:dyDescent="0.45">
      <c r="A522" s="1"/>
    </row>
    <row r="523" spans="1:1" x14ac:dyDescent="0.45">
      <c r="A523" s="1"/>
    </row>
    <row r="524" spans="1:1" x14ac:dyDescent="0.45">
      <c r="A524" s="1"/>
    </row>
    <row r="525" spans="1:1" x14ac:dyDescent="0.45">
      <c r="A525" s="1"/>
    </row>
    <row r="526" spans="1:1" x14ac:dyDescent="0.45">
      <c r="A526" s="1"/>
    </row>
    <row r="527" spans="1:1" x14ac:dyDescent="0.45">
      <c r="A527" s="1"/>
    </row>
    <row r="528" spans="1:1" x14ac:dyDescent="0.45">
      <c r="A528" s="1"/>
    </row>
    <row r="529" spans="1:1" x14ac:dyDescent="0.45">
      <c r="A529" s="1"/>
    </row>
    <row r="530" spans="1:1" x14ac:dyDescent="0.45">
      <c r="A530" s="1"/>
    </row>
    <row r="531" spans="1:1" x14ac:dyDescent="0.45">
      <c r="A531" s="1"/>
    </row>
    <row r="532" spans="1:1" x14ac:dyDescent="0.45">
      <c r="A532" s="1"/>
    </row>
    <row r="533" spans="1:1" x14ac:dyDescent="0.45">
      <c r="A533" s="1"/>
    </row>
    <row r="534" spans="1:1" x14ac:dyDescent="0.45">
      <c r="A534" s="1"/>
    </row>
    <row r="535" spans="1:1" x14ac:dyDescent="0.45">
      <c r="A535" s="1"/>
    </row>
    <row r="536" spans="1:1" x14ac:dyDescent="0.45">
      <c r="A536" s="1"/>
    </row>
    <row r="537" spans="1:1" x14ac:dyDescent="0.45">
      <c r="A537" s="1"/>
    </row>
    <row r="538" spans="1:1" x14ac:dyDescent="0.45">
      <c r="A538" s="1"/>
    </row>
    <row r="539" spans="1:1" x14ac:dyDescent="0.45">
      <c r="A539" s="1"/>
    </row>
    <row r="540" spans="1:1" x14ac:dyDescent="0.45">
      <c r="A540" s="1"/>
    </row>
    <row r="541" spans="1:1" x14ac:dyDescent="0.45">
      <c r="A541" s="1"/>
    </row>
    <row r="542" spans="1:1" x14ac:dyDescent="0.45">
      <c r="A542" s="1"/>
    </row>
    <row r="543" spans="1:1" x14ac:dyDescent="0.45">
      <c r="A543" s="1"/>
    </row>
    <row r="544" spans="1:1" x14ac:dyDescent="0.45">
      <c r="A544" s="1"/>
    </row>
    <row r="545" spans="1:1" x14ac:dyDescent="0.45">
      <c r="A545" s="1"/>
    </row>
    <row r="546" spans="1:1" x14ac:dyDescent="0.45">
      <c r="A546" s="1"/>
    </row>
    <row r="547" spans="1:1" x14ac:dyDescent="0.45">
      <c r="A547" s="1"/>
    </row>
    <row r="548" spans="1:1" x14ac:dyDescent="0.45">
      <c r="A548" s="1"/>
    </row>
    <row r="549" spans="1:1" x14ac:dyDescent="0.45">
      <c r="A549" s="1"/>
    </row>
    <row r="550" spans="1:1" x14ac:dyDescent="0.45">
      <c r="A550" s="1"/>
    </row>
    <row r="551" spans="1:1" x14ac:dyDescent="0.45">
      <c r="A551" s="1"/>
    </row>
    <row r="552" spans="1:1" x14ac:dyDescent="0.45">
      <c r="A552" s="1"/>
    </row>
    <row r="553" spans="1:1" x14ac:dyDescent="0.45">
      <c r="A553" s="1"/>
    </row>
    <row r="554" spans="1:1" x14ac:dyDescent="0.45">
      <c r="A554" s="1"/>
    </row>
    <row r="555" spans="1:1" x14ac:dyDescent="0.45">
      <c r="A555" s="1"/>
    </row>
    <row r="556" spans="1:1" x14ac:dyDescent="0.45">
      <c r="A556" s="1"/>
    </row>
    <row r="557" spans="1:1" x14ac:dyDescent="0.45">
      <c r="A557" s="1"/>
    </row>
    <row r="558" spans="1:1" x14ac:dyDescent="0.45">
      <c r="A558" s="1"/>
    </row>
    <row r="559" spans="1:1" x14ac:dyDescent="0.45">
      <c r="A559" s="1"/>
    </row>
    <row r="560" spans="1:1" x14ac:dyDescent="0.45">
      <c r="A560" s="1"/>
    </row>
    <row r="561" spans="1:1" x14ac:dyDescent="0.45">
      <c r="A561" s="1"/>
    </row>
    <row r="562" spans="1:1" x14ac:dyDescent="0.45">
      <c r="A562" s="1"/>
    </row>
    <row r="563" spans="1:1" x14ac:dyDescent="0.45">
      <c r="A563" s="1"/>
    </row>
    <row r="564" spans="1:1" x14ac:dyDescent="0.45">
      <c r="A564" s="1"/>
    </row>
    <row r="565" spans="1:1" x14ac:dyDescent="0.45">
      <c r="A565" s="1"/>
    </row>
    <row r="566" spans="1:1" x14ac:dyDescent="0.45">
      <c r="A566" s="1"/>
    </row>
    <row r="567" spans="1:1" x14ac:dyDescent="0.45">
      <c r="A567" s="1"/>
    </row>
    <row r="568" spans="1:1" x14ac:dyDescent="0.45">
      <c r="A568" s="1"/>
    </row>
    <row r="569" spans="1:1" x14ac:dyDescent="0.45">
      <c r="A569" s="1"/>
    </row>
    <row r="570" spans="1:1" x14ac:dyDescent="0.45">
      <c r="A570" s="1"/>
    </row>
    <row r="571" spans="1:1" x14ac:dyDescent="0.45">
      <c r="A571" s="1"/>
    </row>
    <row r="572" spans="1:1" x14ac:dyDescent="0.45">
      <c r="A572" s="1"/>
    </row>
    <row r="573" spans="1:1" x14ac:dyDescent="0.45">
      <c r="A573" s="1"/>
    </row>
    <row r="574" spans="1:1" x14ac:dyDescent="0.45">
      <c r="A574" s="1"/>
    </row>
    <row r="575" spans="1:1" x14ac:dyDescent="0.45">
      <c r="A575" s="1"/>
    </row>
    <row r="576" spans="1:1" x14ac:dyDescent="0.45">
      <c r="A576" s="1"/>
    </row>
    <row r="577" spans="1:1" x14ac:dyDescent="0.45">
      <c r="A577" s="1"/>
    </row>
    <row r="578" spans="1:1" x14ac:dyDescent="0.45">
      <c r="A578" s="1"/>
    </row>
    <row r="579" spans="1:1" x14ac:dyDescent="0.45">
      <c r="A579" s="1"/>
    </row>
    <row r="580" spans="1:1" x14ac:dyDescent="0.45">
      <c r="A580" s="1"/>
    </row>
    <row r="581" spans="1:1" x14ac:dyDescent="0.45">
      <c r="A581" s="1"/>
    </row>
    <row r="582" spans="1:1" x14ac:dyDescent="0.45">
      <c r="A582" s="1"/>
    </row>
    <row r="583" spans="1:1" x14ac:dyDescent="0.45">
      <c r="A583" s="1"/>
    </row>
    <row r="584" spans="1:1" x14ac:dyDescent="0.45">
      <c r="A584" s="1"/>
    </row>
    <row r="585" spans="1:1" x14ac:dyDescent="0.45">
      <c r="A585" s="1"/>
    </row>
    <row r="586" spans="1:1" x14ac:dyDescent="0.45">
      <c r="A586" s="1"/>
    </row>
    <row r="587" spans="1:1" x14ac:dyDescent="0.45">
      <c r="A587" s="1"/>
    </row>
    <row r="588" spans="1:1" x14ac:dyDescent="0.45">
      <c r="A588" s="1"/>
    </row>
    <row r="589" spans="1:1" x14ac:dyDescent="0.45">
      <c r="A589" s="1"/>
    </row>
    <row r="590" spans="1:1" x14ac:dyDescent="0.45">
      <c r="A590" s="1"/>
    </row>
    <row r="591" spans="1:1" x14ac:dyDescent="0.45">
      <c r="A591" s="1"/>
    </row>
    <row r="592" spans="1:1" x14ac:dyDescent="0.45">
      <c r="A592" s="1"/>
    </row>
    <row r="593" spans="1:1" x14ac:dyDescent="0.45">
      <c r="A593" s="1"/>
    </row>
    <row r="594" spans="1:1" x14ac:dyDescent="0.45">
      <c r="A594" s="1"/>
    </row>
    <row r="595" spans="1:1" x14ac:dyDescent="0.45">
      <c r="A595" s="1"/>
    </row>
    <row r="596" spans="1:1" x14ac:dyDescent="0.45">
      <c r="A596" s="1"/>
    </row>
    <row r="597" spans="1:1" x14ac:dyDescent="0.45">
      <c r="A597" s="1"/>
    </row>
    <row r="598" spans="1:1" x14ac:dyDescent="0.45">
      <c r="A598" s="1"/>
    </row>
    <row r="599" spans="1:1" x14ac:dyDescent="0.45">
      <c r="A599" s="1"/>
    </row>
    <row r="600" spans="1:1" x14ac:dyDescent="0.45">
      <c r="A600" s="1"/>
    </row>
    <row r="601" spans="1:1" x14ac:dyDescent="0.45">
      <c r="A601" s="1"/>
    </row>
    <row r="602" spans="1:1" x14ac:dyDescent="0.45">
      <c r="A602" s="1"/>
    </row>
    <row r="603" spans="1:1" x14ac:dyDescent="0.45">
      <c r="A603" s="1"/>
    </row>
    <row r="604" spans="1:1" x14ac:dyDescent="0.45">
      <c r="A604" s="1"/>
    </row>
    <row r="605" spans="1:1" x14ac:dyDescent="0.45">
      <c r="A605" s="1"/>
    </row>
    <row r="606" spans="1:1" x14ac:dyDescent="0.45">
      <c r="A606" s="1"/>
    </row>
    <row r="607" spans="1:1" x14ac:dyDescent="0.45">
      <c r="A607" s="1"/>
    </row>
    <row r="608" spans="1:1" x14ac:dyDescent="0.45">
      <c r="A608" s="1"/>
    </row>
    <row r="609" spans="1:1" x14ac:dyDescent="0.45">
      <c r="A609" s="1"/>
    </row>
    <row r="610" spans="1:1" x14ac:dyDescent="0.45">
      <c r="A610" s="1"/>
    </row>
    <row r="611" spans="1:1" x14ac:dyDescent="0.45">
      <c r="A611" s="1"/>
    </row>
    <row r="612" spans="1:1" x14ac:dyDescent="0.45">
      <c r="A612" s="1"/>
    </row>
    <row r="613" spans="1:1" x14ac:dyDescent="0.45">
      <c r="A613" s="1"/>
    </row>
    <row r="614" spans="1:1" x14ac:dyDescent="0.45">
      <c r="A614" s="1"/>
    </row>
    <row r="615" spans="1:1" x14ac:dyDescent="0.45">
      <c r="A615" s="1"/>
    </row>
    <row r="616" spans="1:1" x14ac:dyDescent="0.45">
      <c r="A616" s="1"/>
    </row>
    <row r="617" spans="1:1" x14ac:dyDescent="0.45">
      <c r="A617" s="1"/>
    </row>
    <row r="618" spans="1:1" x14ac:dyDescent="0.45">
      <c r="A618" s="1"/>
    </row>
    <row r="619" spans="1:1" x14ac:dyDescent="0.45">
      <c r="A619" s="1"/>
    </row>
    <row r="620" spans="1:1" x14ac:dyDescent="0.45">
      <c r="A620" s="1"/>
    </row>
    <row r="621" spans="1:1" x14ac:dyDescent="0.45">
      <c r="A621" s="1"/>
    </row>
    <row r="622" spans="1:1" x14ac:dyDescent="0.45">
      <c r="A622" s="1"/>
    </row>
    <row r="623" spans="1:1" x14ac:dyDescent="0.45">
      <c r="A623" s="1"/>
    </row>
    <row r="624" spans="1:1" x14ac:dyDescent="0.45">
      <c r="A624" s="1"/>
    </row>
    <row r="625" spans="1:1" x14ac:dyDescent="0.45">
      <c r="A625" s="1"/>
    </row>
    <row r="626" spans="1:1" x14ac:dyDescent="0.45">
      <c r="A626" s="1"/>
    </row>
    <row r="627" spans="1:1" x14ac:dyDescent="0.45">
      <c r="A627" s="1"/>
    </row>
    <row r="628" spans="1:1" x14ac:dyDescent="0.45">
      <c r="A628" s="1"/>
    </row>
    <row r="629" spans="1:1" x14ac:dyDescent="0.45">
      <c r="A629" s="1"/>
    </row>
    <row r="630" spans="1:1" x14ac:dyDescent="0.45">
      <c r="A630" s="1"/>
    </row>
    <row r="631" spans="1:1" x14ac:dyDescent="0.45">
      <c r="A631" s="1"/>
    </row>
    <row r="632" spans="1:1" x14ac:dyDescent="0.45">
      <c r="A632" s="1"/>
    </row>
    <row r="633" spans="1:1" x14ac:dyDescent="0.45">
      <c r="A633" s="1"/>
    </row>
    <row r="634" spans="1:1" x14ac:dyDescent="0.45">
      <c r="A634" s="1"/>
    </row>
    <row r="635" spans="1:1" x14ac:dyDescent="0.45">
      <c r="A635" s="1"/>
    </row>
    <row r="636" spans="1:1" x14ac:dyDescent="0.45">
      <c r="A636" s="1"/>
    </row>
    <row r="637" spans="1:1" x14ac:dyDescent="0.45">
      <c r="A637" s="1"/>
    </row>
    <row r="638" spans="1:1" x14ac:dyDescent="0.45">
      <c r="A638" s="1"/>
    </row>
    <row r="639" spans="1:1" x14ac:dyDescent="0.45">
      <c r="A639" s="1"/>
    </row>
    <row r="640" spans="1:1" x14ac:dyDescent="0.45">
      <c r="A640" s="1"/>
    </row>
    <row r="641" spans="1:1" x14ac:dyDescent="0.45">
      <c r="A641" s="1"/>
    </row>
    <row r="642" spans="1:1" x14ac:dyDescent="0.45">
      <c r="A642" s="1"/>
    </row>
    <row r="643" spans="1:1" x14ac:dyDescent="0.45">
      <c r="A643" s="1"/>
    </row>
    <row r="644" spans="1:1" x14ac:dyDescent="0.45">
      <c r="A644" s="1"/>
    </row>
    <row r="645" spans="1:1" x14ac:dyDescent="0.45">
      <c r="A645" s="1"/>
    </row>
    <row r="646" spans="1:1" x14ac:dyDescent="0.45">
      <c r="A646" s="1"/>
    </row>
    <row r="647" spans="1:1" x14ac:dyDescent="0.45">
      <c r="A647" s="1"/>
    </row>
    <row r="648" spans="1:1" x14ac:dyDescent="0.45">
      <c r="A648" s="1"/>
    </row>
    <row r="649" spans="1:1" x14ac:dyDescent="0.45">
      <c r="A649" s="1"/>
    </row>
    <row r="650" spans="1:1" x14ac:dyDescent="0.45">
      <c r="A650" s="1"/>
    </row>
    <row r="651" spans="1:1" x14ac:dyDescent="0.45">
      <c r="A651" s="1"/>
    </row>
    <row r="652" spans="1:1" x14ac:dyDescent="0.45">
      <c r="A652" s="1"/>
    </row>
    <row r="653" spans="1:1" x14ac:dyDescent="0.45">
      <c r="A653" s="1"/>
    </row>
    <row r="654" spans="1:1" x14ac:dyDescent="0.45">
      <c r="A654" s="1"/>
    </row>
    <row r="655" spans="1:1" x14ac:dyDescent="0.45">
      <c r="A655" s="1"/>
    </row>
    <row r="656" spans="1:1" x14ac:dyDescent="0.45">
      <c r="A656" s="1"/>
    </row>
    <row r="657" spans="1:1" x14ac:dyDescent="0.45">
      <c r="A657" s="1"/>
    </row>
    <row r="658" spans="1:1" x14ac:dyDescent="0.45">
      <c r="A658" s="1"/>
    </row>
    <row r="659" spans="1:1" x14ac:dyDescent="0.45">
      <c r="A659" s="1"/>
    </row>
    <row r="660" spans="1:1" x14ac:dyDescent="0.45">
      <c r="A660" s="1"/>
    </row>
    <row r="661" spans="1:1" x14ac:dyDescent="0.45">
      <c r="A661" s="1"/>
    </row>
    <row r="662" spans="1:1" x14ac:dyDescent="0.45">
      <c r="A662" s="1"/>
    </row>
    <row r="663" spans="1:1" x14ac:dyDescent="0.45">
      <c r="A663" s="1"/>
    </row>
    <row r="664" spans="1:1" x14ac:dyDescent="0.45">
      <c r="A664" s="1"/>
    </row>
    <row r="665" spans="1:1" x14ac:dyDescent="0.45">
      <c r="A665" s="1"/>
    </row>
    <row r="666" spans="1:1" x14ac:dyDescent="0.45">
      <c r="A666" s="1"/>
    </row>
    <row r="667" spans="1:1" x14ac:dyDescent="0.45">
      <c r="A667" s="1"/>
    </row>
    <row r="668" spans="1:1" x14ac:dyDescent="0.45">
      <c r="A668" s="1"/>
    </row>
    <row r="669" spans="1:1" x14ac:dyDescent="0.45">
      <c r="A669" s="1"/>
    </row>
    <row r="670" spans="1:1" x14ac:dyDescent="0.45">
      <c r="A670" s="1"/>
    </row>
    <row r="671" spans="1:1" x14ac:dyDescent="0.45">
      <c r="A671" s="1"/>
    </row>
    <row r="672" spans="1:1" x14ac:dyDescent="0.45">
      <c r="A672" s="1"/>
    </row>
    <row r="673" spans="1:1" x14ac:dyDescent="0.45">
      <c r="A673" s="1"/>
    </row>
    <row r="674" spans="1:1" x14ac:dyDescent="0.45">
      <c r="A674" s="1"/>
    </row>
    <row r="675" spans="1:1" x14ac:dyDescent="0.45">
      <c r="A675" s="1"/>
    </row>
    <row r="676" spans="1:1" x14ac:dyDescent="0.45">
      <c r="A676" s="1"/>
    </row>
    <row r="677" spans="1:1" x14ac:dyDescent="0.45">
      <c r="A677" s="1"/>
    </row>
    <row r="678" spans="1:1" x14ac:dyDescent="0.45">
      <c r="A678" s="1"/>
    </row>
    <row r="679" spans="1:1" x14ac:dyDescent="0.45">
      <c r="A679" s="1"/>
    </row>
    <row r="680" spans="1:1" x14ac:dyDescent="0.45">
      <c r="A680" s="1"/>
    </row>
    <row r="681" spans="1:1" x14ac:dyDescent="0.45">
      <c r="A681" s="1"/>
    </row>
    <row r="682" spans="1:1" x14ac:dyDescent="0.45">
      <c r="A682" s="1"/>
    </row>
    <row r="683" spans="1:1" x14ac:dyDescent="0.45">
      <c r="A683" s="1"/>
    </row>
    <row r="684" spans="1:1" x14ac:dyDescent="0.45">
      <c r="A684" s="1"/>
    </row>
    <row r="685" spans="1:1" x14ac:dyDescent="0.45">
      <c r="A685" s="1"/>
    </row>
    <row r="686" spans="1:1" x14ac:dyDescent="0.45">
      <c r="A686" s="1"/>
    </row>
    <row r="687" spans="1:1" x14ac:dyDescent="0.45">
      <c r="A687" s="1"/>
    </row>
    <row r="688" spans="1:1" x14ac:dyDescent="0.45">
      <c r="A688" s="1"/>
    </row>
    <row r="689" spans="1:1" x14ac:dyDescent="0.45">
      <c r="A689" s="1"/>
    </row>
    <row r="690" spans="1:1" x14ac:dyDescent="0.45">
      <c r="A690" s="1"/>
    </row>
    <row r="691" spans="1:1" x14ac:dyDescent="0.45">
      <c r="A691" s="1"/>
    </row>
    <row r="692" spans="1:1" x14ac:dyDescent="0.45">
      <c r="A692" s="1"/>
    </row>
    <row r="693" spans="1:1" x14ac:dyDescent="0.45">
      <c r="A693" s="1"/>
    </row>
    <row r="694" spans="1:1" x14ac:dyDescent="0.45">
      <c r="A694" s="1"/>
    </row>
    <row r="695" spans="1:1" x14ac:dyDescent="0.45">
      <c r="A695" s="1"/>
    </row>
    <row r="696" spans="1:1" x14ac:dyDescent="0.45">
      <c r="A696" s="1"/>
    </row>
    <row r="697" spans="1:1" x14ac:dyDescent="0.45">
      <c r="A697" s="1"/>
    </row>
    <row r="698" spans="1:1" x14ac:dyDescent="0.45">
      <c r="A698" s="1"/>
    </row>
    <row r="699" spans="1:1" x14ac:dyDescent="0.45">
      <c r="A699" s="1"/>
    </row>
    <row r="700" spans="1:1" x14ac:dyDescent="0.45">
      <c r="A700" s="1"/>
    </row>
    <row r="701" spans="1:1" x14ac:dyDescent="0.45">
      <c r="A701" s="1"/>
    </row>
    <row r="702" spans="1:1" x14ac:dyDescent="0.45">
      <c r="A702" s="1"/>
    </row>
    <row r="703" spans="1:1" x14ac:dyDescent="0.45">
      <c r="A703" s="1"/>
    </row>
    <row r="704" spans="1:1" x14ac:dyDescent="0.45">
      <c r="A704" s="1"/>
    </row>
    <row r="705" spans="1:1" x14ac:dyDescent="0.45">
      <c r="A705" s="1"/>
    </row>
    <row r="706" spans="1:1" x14ac:dyDescent="0.45">
      <c r="A706" s="1"/>
    </row>
    <row r="707" spans="1:1" x14ac:dyDescent="0.45">
      <c r="A707" s="1"/>
    </row>
    <row r="708" spans="1:1" x14ac:dyDescent="0.45">
      <c r="A708" s="1"/>
    </row>
    <row r="709" spans="1:1" x14ac:dyDescent="0.45">
      <c r="A709" s="1"/>
    </row>
    <row r="710" spans="1:1" x14ac:dyDescent="0.45">
      <c r="A710" s="1"/>
    </row>
    <row r="711" spans="1:1" x14ac:dyDescent="0.45">
      <c r="A711" s="1"/>
    </row>
    <row r="712" spans="1:1" x14ac:dyDescent="0.45">
      <c r="A712" s="1"/>
    </row>
    <row r="713" spans="1:1" x14ac:dyDescent="0.45">
      <c r="A713" s="1"/>
    </row>
    <row r="714" spans="1:1" x14ac:dyDescent="0.45">
      <c r="A714" s="1"/>
    </row>
    <row r="715" spans="1:1" x14ac:dyDescent="0.45">
      <c r="A715" s="1"/>
    </row>
    <row r="716" spans="1:1" x14ac:dyDescent="0.45">
      <c r="A716" s="1"/>
    </row>
    <row r="717" spans="1:1" x14ac:dyDescent="0.45">
      <c r="A717" s="1"/>
    </row>
    <row r="718" spans="1:1" x14ac:dyDescent="0.45">
      <c r="A718" s="1"/>
    </row>
    <row r="719" spans="1:1" x14ac:dyDescent="0.45">
      <c r="A719" s="1"/>
    </row>
    <row r="720" spans="1:1" x14ac:dyDescent="0.45">
      <c r="A720" s="1"/>
    </row>
    <row r="721" spans="1:1" x14ac:dyDescent="0.45">
      <c r="A721" s="1"/>
    </row>
    <row r="722" spans="1:1" x14ac:dyDescent="0.45">
      <c r="A722" s="1"/>
    </row>
    <row r="723" spans="1:1" x14ac:dyDescent="0.45">
      <c r="A723" s="1"/>
    </row>
    <row r="724" spans="1:1" x14ac:dyDescent="0.45">
      <c r="A724" s="1"/>
    </row>
    <row r="725" spans="1:1" x14ac:dyDescent="0.45">
      <c r="A725" s="1"/>
    </row>
    <row r="726" spans="1:1" x14ac:dyDescent="0.45">
      <c r="A726" s="1"/>
    </row>
    <row r="727" spans="1:1" x14ac:dyDescent="0.45">
      <c r="A727" s="1"/>
    </row>
    <row r="728" spans="1:1" x14ac:dyDescent="0.45">
      <c r="A728" s="1"/>
    </row>
    <row r="729" spans="1:1" x14ac:dyDescent="0.45">
      <c r="A729" s="1"/>
    </row>
    <row r="730" spans="1:1" x14ac:dyDescent="0.45">
      <c r="A730" s="1"/>
    </row>
    <row r="731" spans="1:1" x14ac:dyDescent="0.45">
      <c r="A731" s="1"/>
    </row>
    <row r="732" spans="1:1" x14ac:dyDescent="0.45">
      <c r="A732" s="1"/>
    </row>
    <row r="733" spans="1:1" x14ac:dyDescent="0.45">
      <c r="A733" s="1"/>
    </row>
    <row r="734" spans="1:1" x14ac:dyDescent="0.45">
      <c r="A734" s="1"/>
    </row>
    <row r="735" spans="1:1" x14ac:dyDescent="0.45">
      <c r="A735" s="1"/>
    </row>
    <row r="736" spans="1:1" x14ac:dyDescent="0.45">
      <c r="A736" s="1"/>
    </row>
    <row r="737" spans="1:1" x14ac:dyDescent="0.45">
      <c r="A737" s="1"/>
    </row>
    <row r="738" spans="1:1" x14ac:dyDescent="0.45">
      <c r="A738" s="1"/>
    </row>
    <row r="739" spans="1:1" x14ac:dyDescent="0.45">
      <c r="A739" s="1"/>
    </row>
    <row r="740" spans="1:1" x14ac:dyDescent="0.45">
      <c r="A740" s="1"/>
    </row>
    <row r="741" spans="1:1" x14ac:dyDescent="0.45">
      <c r="A741" s="1"/>
    </row>
    <row r="742" spans="1:1" x14ac:dyDescent="0.45">
      <c r="A742" s="1"/>
    </row>
    <row r="743" spans="1:1" x14ac:dyDescent="0.45">
      <c r="A743" s="1"/>
    </row>
    <row r="744" spans="1:1" x14ac:dyDescent="0.45">
      <c r="A744" s="1"/>
    </row>
    <row r="745" spans="1:1" x14ac:dyDescent="0.45">
      <c r="A745" s="1"/>
    </row>
    <row r="746" spans="1:1" x14ac:dyDescent="0.45">
      <c r="A746" s="1"/>
    </row>
    <row r="747" spans="1:1" x14ac:dyDescent="0.45">
      <c r="A747" s="1"/>
    </row>
    <row r="748" spans="1:1" x14ac:dyDescent="0.45">
      <c r="A748" s="1"/>
    </row>
    <row r="749" spans="1:1" x14ac:dyDescent="0.45">
      <c r="A749" s="1"/>
    </row>
    <row r="750" spans="1:1" x14ac:dyDescent="0.45">
      <c r="A750" s="1"/>
    </row>
    <row r="751" spans="1:1" x14ac:dyDescent="0.45">
      <c r="A751" s="1"/>
    </row>
    <row r="752" spans="1:1" x14ac:dyDescent="0.45">
      <c r="A752" s="1"/>
    </row>
    <row r="753" spans="1:1" x14ac:dyDescent="0.45">
      <c r="A753" s="1"/>
    </row>
    <row r="754" spans="1:1" x14ac:dyDescent="0.45">
      <c r="A754" s="1"/>
    </row>
    <row r="755" spans="1:1" x14ac:dyDescent="0.45">
      <c r="A755" s="1"/>
    </row>
    <row r="756" spans="1:1" x14ac:dyDescent="0.45">
      <c r="A756" s="1"/>
    </row>
    <row r="757" spans="1:1" x14ac:dyDescent="0.45">
      <c r="A757" s="1"/>
    </row>
    <row r="758" spans="1:1" x14ac:dyDescent="0.45">
      <c r="A758" s="1"/>
    </row>
    <row r="759" spans="1:1" x14ac:dyDescent="0.45">
      <c r="A759" s="1"/>
    </row>
    <row r="760" spans="1:1" x14ac:dyDescent="0.45">
      <c r="A760" s="1"/>
    </row>
    <row r="761" spans="1:1" x14ac:dyDescent="0.45">
      <c r="A761" s="1"/>
    </row>
    <row r="762" spans="1:1" x14ac:dyDescent="0.45">
      <c r="A762" s="1"/>
    </row>
    <row r="763" spans="1:1" x14ac:dyDescent="0.45">
      <c r="A763" s="1"/>
    </row>
    <row r="764" spans="1:1" x14ac:dyDescent="0.45">
      <c r="A764" s="1"/>
    </row>
    <row r="765" spans="1:1" x14ac:dyDescent="0.45">
      <c r="A765" s="1"/>
    </row>
    <row r="766" spans="1:1" x14ac:dyDescent="0.45">
      <c r="A766" s="1"/>
    </row>
    <row r="767" spans="1:1" x14ac:dyDescent="0.45">
      <c r="A767" s="1"/>
    </row>
    <row r="768" spans="1:1" x14ac:dyDescent="0.45">
      <c r="A768" s="1"/>
    </row>
    <row r="769" spans="1:1" x14ac:dyDescent="0.45">
      <c r="A769" s="1"/>
    </row>
    <row r="770" spans="1:1" x14ac:dyDescent="0.45">
      <c r="A770" s="1"/>
    </row>
    <row r="771" spans="1:1" x14ac:dyDescent="0.45">
      <c r="A771" s="1"/>
    </row>
    <row r="772" spans="1:1" x14ac:dyDescent="0.45">
      <c r="A772" s="1"/>
    </row>
    <row r="773" spans="1:1" x14ac:dyDescent="0.45">
      <c r="A773" s="1"/>
    </row>
    <row r="774" spans="1:1" x14ac:dyDescent="0.45">
      <c r="A774" s="1"/>
    </row>
    <row r="775" spans="1:1" x14ac:dyDescent="0.45">
      <c r="A775" s="1"/>
    </row>
    <row r="776" spans="1:1" x14ac:dyDescent="0.45">
      <c r="A776" s="1"/>
    </row>
    <row r="777" spans="1:1" x14ac:dyDescent="0.45">
      <c r="A777" s="1"/>
    </row>
    <row r="778" spans="1:1" x14ac:dyDescent="0.45">
      <c r="A778" s="1"/>
    </row>
    <row r="779" spans="1:1" x14ac:dyDescent="0.45">
      <c r="A779" s="1"/>
    </row>
    <row r="780" spans="1:1" x14ac:dyDescent="0.45">
      <c r="A780" s="1"/>
    </row>
    <row r="781" spans="1:1" x14ac:dyDescent="0.45">
      <c r="A781" s="1"/>
    </row>
    <row r="782" spans="1:1" x14ac:dyDescent="0.45">
      <c r="A782" s="1"/>
    </row>
    <row r="783" spans="1:1" x14ac:dyDescent="0.45">
      <c r="A783" s="1"/>
    </row>
    <row r="784" spans="1:1" x14ac:dyDescent="0.45">
      <c r="A784" s="1"/>
    </row>
    <row r="785" spans="1:1" x14ac:dyDescent="0.45">
      <c r="A785" s="1"/>
    </row>
    <row r="786" spans="1:1" x14ac:dyDescent="0.45">
      <c r="A786" s="1"/>
    </row>
    <row r="787" spans="1:1" x14ac:dyDescent="0.45">
      <c r="A787" s="1"/>
    </row>
    <row r="788" spans="1:1" x14ac:dyDescent="0.45">
      <c r="A788" s="1"/>
    </row>
    <row r="789" spans="1:1" x14ac:dyDescent="0.45">
      <c r="A789" s="1"/>
    </row>
    <row r="790" spans="1:1" x14ac:dyDescent="0.45">
      <c r="A790" s="1"/>
    </row>
    <row r="791" spans="1:1" x14ac:dyDescent="0.45">
      <c r="A791" s="1"/>
    </row>
    <row r="792" spans="1:1" x14ac:dyDescent="0.45">
      <c r="A792" s="1"/>
    </row>
    <row r="793" spans="1:1" x14ac:dyDescent="0.45">
      <c r="A793" s="1"/>
    </row>
    <row r="794" spans="1:1" x14ac:dyDescent="0.45">
      <c r="A794" s="1"/>
    </row>
    <row r="795" spans="1:1" x14ac:dyDescent="0.45">
      <c r="A795" s="1"/>
    </row>
    <row r="796" spans="1:1" x14ac:dyDescent="0.45">
      <c r="A796" s="1"/>
    </row>
    <row r="797" spans="1:1" x14ac:dyDescent="0.45">
      <c r="A797" s="1"/>
    </row>
    <row r="798" spans="1:1" x14ac:dyDescent="0.45">
      <c r="A798" s="1"/>
    </row>
    <row r="799" spans="1:1" x14ac:dyDescent="0.45">
      <c r="A799" s="1"/>
    </row>
    <row r="800" spans="1:1" x14ac:dyDescent="0.45">
      <c r="A800" s="1"/>
    </row>
    <row r="801" spans="1:1" x14ac:dyDescent="0.45">
      <c r="A801" s="1"/>
    </row>
    <row r="802" spans="1:1" x14ac:dyDescent="0.45">
      <c r="A802" s="1"/>
    </row>
    <row r="803" spans="1:1" x14ac:dyDescent="0.45">
      <c r="A803" s="1"/>
    </row>
    <row r="804" spans="1:1" x14ac:dyDescent="0.45">
      <c r="A804" s="1"/>
    </row>
    <row r="805" spans="1:1" x14ac:dyDescent="0.45">
      <c r="A805" s="1"/>
    </row>
    <row r="806" spans="1:1" x14ac:dyDescent="0.45">
      <c r="A806" s="1"/>
    </row>
    <row r="807" spans="1:1" x14ac:dyDescent="0.45">
      <c r="A807" s="1"/>
    </row>
    <row r="808" spans="1:1" x14ac:dyDescent="0.45">
      <c r="A808" s="1"/>
    </row>
    <row r="809" spans="1:1" x14ac:dyDescent="0.45">
      <c r="A809" s="1"/>
    </row>
    <row r="810" spans="1:1" x14ac:dyDescent="0.45">
      <c r="A810" s="1"/>
    </row>
    <row r="811" spans="1:1" x14ac:dyDescent="0.45">
      <c r="A811" s="1"/>
    </row>
    <row r="812" spans="1:1" x14ac:dyDescent="0.45">
      <c r="A812" s="1"/>
    </row>
    <row r="813" spans="1:1" x14ac:dyDescent="0.45">
      <c r="A813" s="1"/>
    </row>
    <row r="814" spans="1:1" x14ac:dyDescent="0.45">
      <c r="A814" s="1"/>
    </row>
    <row r="815" spans="1:1" x14ac:dyDescent="0.45">
      <c r="A815" s="1"/>
    </row>
    <row r="816" spans="1:1" x14ac:dyDescent="0.45">
      <c r="A816" s="1"/>
    </row>
    <row r="817" spans="1:1" x14ac:dyDescent="0.45">
      <c r="A817" s="1"/>
    </row>
    <row r="818" spans="1:1" x14ac:dyDescent="0.45">
      <c r="A818" s="1"/>
    </row>
    <row r="819" spans="1:1" x14ac:dyDescent="0.45">
      <c r="A819" s="1"/>
    </row>
    <row r="820" spans="1:1" x14ac:dyDescent="0.45">
      <c r="A820" s="1"/>
    </row>
    <row r="821" spans="1:1" x14ac:dyDescent="0.45">
      <c r="A821" s="1"/>
    </row>
    <row r="822" spans="1:1" x14ac:dyDescent="0.45">
      <c r="A822" s="1"/>
    </row>
    <row r="823" spans="1:1" x14ac:dyDescent="0.45">
      <c r="A823" s="1"/>
    </row>
    <row r="824" spans="1:1" x14ac:dyDescent="0.45">
      <c r="A824" s="1"/>
    </row>
    <row r="825" spans="1:1" x14ac:dyDescent="0.45">
      <c r="A825" s="1"/>
    </row>
    <row r="826" spans="1:1" x14ac:dyDescent="0.45">
      <c r="A826" s="1"/>
    </row>
    <row r="827" spans="1:1" x14ac:dyDescent="0.45">
      <c r="A827" s="1"/>
    </row>
    <row r="828" spans="1:1" x14ac:dyDescent="0.45">
      <c r="A828" s="1"/>
    </row>
    <row r="829" spans="1:1" x14ac:dyDescent="0.45">
      <c r="A829" s="1"/>
    </row>
    <row r="830" spans="1:1" x14ac:dyDescent="0.45">
      <c r="A830" s="1"/>
    </row>
    <row r="831" spans="1:1" x14ac:dyDescent="0.45">
      <c r="A831" s="1"/>
    </row>
    <row r="832" spans="1:1" x14ac:dyDescent="0.45">
      <c r="A832" s="1"/>
    </row>
    <row r="833" spans="1:1" x14ac:dyDescent="0.45">
      <c r="A833" s="1"/>
    </row>
    <row r="834" spans="1:1" x14ac:dyDescent="0.45">
      <c r="A834" s="1"/>
    </row>
    <row r="835" spans="1:1" x14ac:dyDescent="0.45">
      <c r="A835" s="1"/>
    </row>
    <row r="836" spans="1:1" x14ac:dyDescent="0.45">
      <c r="A836" s="1"/>
    </row>
    <row r="837" spans="1:1" x14ac:dyDescent="0.45">
      <c r="A837" s="1"/>
    </row>
    <row r="838" spans="1:1" x14ac:dyDescent="0.45">
      <c r="A838" s="1"/>
    </row>
    <row r="839" spans="1:1" x14ac:dyDescent="0.45">
      <c r="A839" s="1"/>
    </row>
    <row r="840" spans="1:1" x14ac:dyDescent="0.45">
      <c r="A840" s="1"/>
    </row>
    <row r="841" spans="1:1" x14ac:dyDescent="0.45">
      <c r="A841" s="1"/>
    </row>
    <row r="842" spans="1:1" x14ac:dyDescent="0.45">
      <c r="A842" s="1"/>
    </row>
    <row r="843" spans="1:1" x14ac:dyDescent="0.45">
      <c r="A843" s="1"/>
    </row>
    <row r="844" spans="1:1" x14ac:dyDescent="0.45">
      <c r="A844" s="1"/>
    </row>
    <row r="845" spans="1:1" x14ac:dyDescent="0.45">
      <c r="A845" s="1"/>
    </row>
    <row r="846" spans="1:1" x14ac:dyDescent="0.45">
      <c r="A846" s="1"/>
    </row>
    <row r="847" spans="1:1" x14ac:dyDescent="0.45">
      <c r="A847" s="1"/>
    </row>
    <row r="848" spans="1:1" x14ac:dyDescent="0.45">
      <c r="A848" s="1"/>
    </row>
    <row r="849" spans="1:1" x14ac:dyDescent="0.45">
      <c r="A849" s="1"/>
    </row>
    <row r="850" spans="1:1" x14ac:dyDescent="0.45">
      <c r="A850" s="1"/>
    </row>
    <row r="851" spans="1:1" x14ac:dyDescent="0.45">
      <c r="A851" s="1"/>
    </row>
    <row r="852" spans="1:1" x14ac:dyDescent="0.45">
      <c r="A852" s="1"/>
    </row>
    <row r="853" spans="1:1" x14ac:dyDescent="0.45">
      <c r="A853" s="1"/>
    </row>
    <row r="854" spans="1:1" x14ac:dyDescent="0.45">
      <c r="A854" s="1"/>
    </row>
    <row r="855" spans="1:1" x14ac:dyDescent="0.45">
      <c r="A855" s="1"/>
    </row>
    <row r="856" spans="1:1" x14ac:dyDescent="0.45">
      <c r="A856" s="1"/>
    </row>
    <row r="857" spans="1:1" x14ac:dyDescent="0.45">
      <c r="A857" s="1"/>
    </row>
    <row r="858" spans="1:1" x14ac:dyDescent="0.45">
      <c r="A858" s="1"/>
    </row>
    <row r="859" spans="1:1" x14ac:dyDescent="0.45">
      <c r="A859" s="1"/>
    </row>
    <row r="860" spans="1:1" x14ac:dyDescent="0.45">
      <c r="A860" s="1"/>
    </row>
    <row r="861" spans="1:1" x14ac:dyDescent="0.45">
      <c r="A861" s="1"/>
    </row>
    <row r="862" spans="1:1" x14ac:dyDescent="0.45">
      <c r="A862" s="1"/>
    </row>
    <row r="863" spans="1:1" x14ac:dyDescent="0.45">
      <c r="A863" s="1"/>
    </row>
    <row r="864" spans="1:1" x14ac:dyDescent="0.45">
      <c r="A864" s="1"/>
    </row>
    <row r="865" spans="1:1" x14ac:dyDescent="0.45">
      <c r="A865" s="1"/>
    </row>
    <row r="866" spans="1:1" x14ac:dyDescent="0.45">
      <c r="A866" s="1"/>
    </row>
    <row r="867" spans="1:1" x14ac:dyDescent="0.45">
      <c r="A867" s="1"/>
    </row>
    <row r="868" spans="1:1" x14ac:dyDescent="0.45">
      <c r="A868" s="1"/>
    </row>
    <row r="869" spans="1:1" x14ac:dyDescent="0.45">
      <c r="A869" s="1"/>
    </row>
    <row r="870" spans="1:1" x14ac:dyDescent="0.45">
      <c r="A870" s="1"/>
    </row>
    <row r="871" spans="1:1" x14ac:dyDescent="0.45">
      <c r="A871" s="1"/>
    </row>
    <row r="872" spans="1:1" x14ac:dyDescent="0.45">
      <c r="A872" s="1"/>
    </row>
    <row r="873" spans="1:1" x14ac:dyDescent="0.45">
      <c r="A873" s="1"/>
    </row>
    <row r="874" spans="1:1" x14ac:dyDescent="0.45">
      <c r="A874" s="1"/>
    </row>
    <row r="875" spans="1:1" x14ac:dyDescent="0.45">
      <c r="A875" s="1"/>
    </row>
    <row r="876" spans="1:1" x14ac:dyDescent="0.45">
      <c r="A876" s="1"/>
    </row>
    <row r="877" spans="1:1" x14ac:dyDescent="0.45">
      <c r="A877" s="1"/>
    </row>
    <row r="878" spans="1:1" x14ac:dyDescent="0.45">
      <c r="A878" s="1"/>
    </row>
    <row r="879" spans="1:1" x14ac:dyDescent="0.45">
      <c r="A879" s="1"/>
    </row>
    <row r="880" spans="1:1" x14ac:dyDescent="0.45">
      <c r="A880" s="1"/>
    </row>
    <row r="881" spans="1:1" x14ac:dyDescent="0.45">
      <c r="A881" s="1"/>
    </row>
    <row r="882" spans="1:1" x14ac:dyDescent="0.45">
      <c r="A882" s="1"/>
    </row>
    <row r="883" spans="1:1" x14ac:dyDescent="0.45">
      <c r="A883" s="1"/>
    </row>
    <row r="884" spans="1:1" x14ac:dyDescent="0.45">
      <c r="A884" s="1"/>
    </row>
    <row r="885" spans="1:1" x14ac:dyDescent="0.45">
      <c r="A885" s="1"/>
    </row>
    <row r="886" spans="1:1" x14ac:dyDescent="0.45">
      <c r="A886" s="1"/>
    </row>
    <row r="887" spans="1:1" x14ac:dyDescent="0.45">
      <c r="A887" s="1"/>
    </row>
    <row r="888" spans="1:1" x14ac:dyDescent="0.45">
      <c r="A888" s="1"/>
    </row>
    <row r="889" spans="1:1" x14ac:dyDescent="0.45">
      <c r="A889" s="1"/>
    </row>
    <row r="890" spans="1:1" x14ac:dyDescent="0.45">
      <c r="A890" s="1"/>
    </row>
    <row r="891" spans="1:1" x14ac:dyDescent="0.45">
      <c r="A891" s="1"/>
    </row>
    <row r="892" spans="1:1" x14ac:dyDescent="0.45">
      <c r="A892" s="1"/>
    </row>
    <row r="893" spans="1:1" x14ac:dyDescent="0.45">
      <c r="A893" s="1"/>
    </row>
    <row r="894" spans="1:1" x14ac:dyDescent="0.45">
      <c r="A894" s="1"/>
    </row>
    <row r="895" spans="1:1" x14ac:dyDescent="0.45">
      <c r="A895" s="1"/>
    </row>
    <row r="896" spans="1:1" x14ac:dyDescent="0.45">
      <c r="A896" s="1"/>
    </row>
    <row r="897" spans="1:1" x14ac:dyDescent="0.45">
      <c r="A897" s="1"/>
    </row>
    <row r="898" spans="1:1" x14ac:dyDescent="0.45">
      <c r="A898" s="1"/>
    </row>
    <row r="899" spans="1:1" x14ac:dyDescent="0.45">
      <c r="A899" s="1"/>
    </row>
    <row r="900" spans="1:1" x14ac:dyDescent="0.45">
      <c r="A900" s="1"/>
    </row>
    <row r="901" spans="1:1" x14ac:dyDescent="0.45">
      <c r="A901" s="1"/>
    </row>
    <row r="902" spans="1:1" x14ac:dyDescent="0.45">
      <c r="A902" s="1"/>
    </row>
    <row r="903" spans="1:1" x14ac:dyDescent="0.45">
      <c r="A903" s="1"/>
    </row>
    <row r="904" spans="1:1" x14ac:dyDescent="0.45">
      <c r="A904" s="1"/>
    </row>
    <row r="905" spans="1:1" x14ac:dyDescent="0.45">
      <c r="A905" s="1"/>
    </row>
    <row r="906" spans="1:1" x14ac:dyDescent="0.45">
      <c r="A906" s="1"/>
    </row>
    <row r="907" spans="1:1" x14ac:dyDescent="0.45">
      <c r="A907" s="1"/>
    </row>
    <row r="908" spans="1:1" x14ac:dyDescent="0.45">
      <c r="A908" s="1"/>
    </row>
    <row r="909" spans="1:1" x14ac:dyDescent="0.45">
      <c r="A909" s="1"/>
    </row>
    <row r="910" spans="1:1" x14ac:dyDescent="0.45">
      <c r="A910" s="1"/>
    </row>
    <row r="911" spans="1:1" x14ac:dyDescent="0.45">
      <c r="A911" s="1"/>
    </row>
    <row r="912" spans="1:1" x14ac:dyDescent="0.45">
      <c r="A912" s="1"/>
    </row>
    <row r="913" spans="1:1" x14ac:dyDescent="0.45">
      <c r="A913" s="1"/>
    </row>
    <row r="914" spans="1:1" x14ac:dyDescent="0.45">
      <c r="A914" s="1"/>
    </row>
    <row r="915" spans="1:1" x14ac:dyDescent="0.45">
      <c r="A915" s="1"/>
    </row>
    <row r="916" spans="1:1" x14ac:dyDescent="0.45">
      <c r="A916" s="1"/>
    </row>
    <row r="917" spans="1:1" x14ac:dyDescent="0.45">
      <c r="A917" s="1"/>
    </row>
    <row r="918" spans="1:1" x14ac:dyDescent="0.45">
      <c r="A918" s="1"/>
    </row>
    <row r="919" spans="1:1" x14ac:dyDescent="0.45">
      <c r="A919" s="1"/>
    </row>
    <row r="920" spans="1:1" x14ac:dyDescent="0.45">
      <c r="A920" s="1"/>
    </row>
    <row r="921" spans="1:1" x14ac:dyDescent="0.45">
      <c r="A921" s="1"/>
    </row>
    <row r="922" spans="1:1" x14ac:dyDescent="0.45">
      <c r="A922" s="1"/>
    </row>
    <row r="923" spans="1:1" x14ac:dyDescent="0.45">
      <c r="A923" s="1"/>
    </row>
    <row r="924" spans="1:1" x14ac:dyDescent="0.45">
      <c r="A924" s="1"/>
    </row>
    <row r="925" spans="1:1" x14ac:dyDescent="0.45">
      <c r="A925" s="1"/>
    </row>
    <row r="926" spans="1:1" x14ac:dyDescent="0.45">
      <c r="A926" s="1"/>
    </row>
    <row r="927" spans="1:1" x14ac:dyDescent="0.45">
      <c r="A927" s="1"/>
    </row>
    <row r="928" spans="1:1" x14ac:dyDescent="0.45">
      <c r="A928" s="1"/>
    </row>
    <row r="929" spans="1:1" x14ac:dyDescent="0.45">
      <c r="A929" s="1"/>
    </row>
    <row r="930" spans="1:1" x14ac:dyDescent="0.45">
      <c r="A930" s="1"/>
    </row>
    <row r="931" spans="1:1" x14ac:dyDescent="0.45">
      <c r="A931" s="1"/>
    </row>
    <row r="932" spans="1:1" x14ac:dyDescent="0.45">
      <c r="A932" s="1"/>
    </row>
    <row r="933" spans="1:1" x14ac:dyDescent="0.45">
      <c r="A933" s="1"/>
    </row>
    <row r="934" spans="1:1" x14ac:dyDescent="0.45">
      <c r="A934" s="1"/>
    </row>
    <row r="935" spans="1:1" x14ac:dyDescent="0.45">
      <c r="A935" s="1"/>
    </row>
    <row r="936" spans="1:1" x14ac:dyDescent="0.45">
      <c r="A936" s="1"/>
    </row>
    <row r="937" spans="1:1" x14ac:dyDescent="0.45">
      <c r="A937" s="1"/>
    </row>
    <row r="938" spans="1:1" x14ac:dyDescent="0.45">
      <c r="A938" s="1"/>
    </row>
    <row r="939" spans="1:1" x14ac:dyDescent="0.45">
      <c r="A939" s="1"/>
    </row>
    <row r="940" spans="1:1" x14ac:dyDescent="0.45">
      <c r="A940" s="1"/>
    </row>
    <row r="941" spans="1:1" x14ac:dyDescent="0.45">
      <c r="A941" s="1"/>
    </row>
    <row r="942" spans="1:1" x14ac:dyDescent="0.45">
      <c r="A942" s="1"/>
    </row>
    <row r="943" spans="1:1" x14ac:dyDescent="0.45">
      <c r="A943" s="1"/>
    </row>
    <row r="944" spans="1:1" x14ac:dyDescent="0.45">
      <c r="A944" s="1"/>
    </row>
    <row r="945" spans="1:1" x14ac:dyDescent="0.45">
      <c r="A945" s="1"/>
    </row>
    <row r="946" spans="1:1" x14ac:dyDescent="0.45">
      <c r="A946" s="1"/>
    </row>
    <row r="947" spans="1:1" x14ac:dyDescent="0.45">
      <c r="A947" s="1"/>
    </row>
    <row r="948" spans="1:1" x14ac:dyDescent="0.45">
      <c r="A948" s="1"/>
    </row>
    <row r="949" spans="1:1" x14ac:dyDescent="0.45">
      <c r="A949" s="1"/>
    </row>
    <row r="950" spans="1:1" x14ac:dyDescent="0.45">
      <c r="A950" s="1"/>
    </row>
    <row r="951" spans="1:1" x14ac:dyDescent="0.45">
      <c r="A951" s="1"/>
    </row>
    <row r="952" spans="1:1" x14ac:dyDescent="0.45">
      <c r="A952" s="1"/>
    </row>
    <row r="953" spans="1:1" x14ac:dyDescent="0.45">
      <c r="A953" s="1"/>
    </row>
    <row r="954" spans="1:1" x14ac:dyDescent="0.45">
      <c r="A954" s="1"/>
    </row>
    <row r="955" spans="1:1" x14ac:dyDescent="0.45">
      <c r="A955" s="1"/>
    </row>
    <row r="956" spans="1:1" x14ac:dyDescent="0.45">
      <c r="A956" s="1"/>
    </row>
    <row r="957" spans="1:1" x14ac:dyDescent="0.45">
      <c r="A957" s="1"/>
    </row>
    <row r="958" spans="1:1" x14ac:dyDescent="0.45">
      <c r="A958" s="1"/>
    </row>
    <row r="959" spans="1:1" x14ac:dyDescent="0.45">
      <c r="A959" s="1"/>
    </row>
    <row r="960" spans="1:1" x14ac:dyDescent="0.45">
      <c r="A960" s="1"/>
    </row>
    <row r="961" spans="1:1" x14ac:dyDescent="0.45">
      <c r="A961" s="1"/>
    </row>
    <row r="962" spans="1:1" x14ac:dyDescent="0.45">
      <c r="A962" s="1"/>
    </row>
    <row r="963" spans="1:1" x14ac:dyDescent="0.45">
      <c r="A963" s="1"/>
    </row>
    <row r="964" spans="1:1" x14ac:dyDescent="0.45">
      <c r="A964" s="1"/>
    </row>
    <row r="965" spans="1:1" x14ac:dyDescent="0.45">
      <c r="A965" s="1"/>
    </row>
    <row r="966" spans="1:1" x14ac:dyDescent="0.45">
      <c r="A966" s="1"/>
    </row>
    <row r="967" spans="1:1" x14ac:dyDescent="0.45">
      <c r="A967" s="1"/>
    </row>
    <row r="968" spans="1:1" x14ac:dyDescent="0.45">
      <c r="A968" s="1"/>
    </row>
    <row r="969" spans="1:1" x14ac:dyDescent="0.45">
      <c r="A969" s="1"/>
    </row>
    <row r="970" spans="1:1" x14ac:dyDescent="0.45">
      <c r="A970" s="1"/>
    </row>
    <row r="971" spans="1:1" x14ac:dyDescent="0.45">
      <c r="A971" s="1"/>
    </row>
    <row r="972" spans="1:1" x14ac:dyDescent="0.45">
      <c r="A972" s="1"/>
    </row>
    <row r="973" spans="1:1" x14ac:dyDescent="0.45">
      <c r="A973" s="1"/>
    </row>
    <row r="974" spans="1:1" x14ac:dyDescent="0.45">
      <c r="A974" s="1"/>
    </row>
    <row r="975" spans="1:1" x14ac:dyDescent="0.45">
      <c r="A975" s="1"/>
    </row>
    <row r="976" spans="1:1" x14ac:dyDescent="0.45">
      <c r="A976" s="1"/>
    </row>
    <row r="977" spans="1:1" x14ac:dyDescent="0.45">
      <c r="A977" s="1"/>
    </row>
    <row r="978" spans="1:1" x14ac:dyDescent="0.45">
      <c r="A978" s="1"/>
    </row>
    <row r="979" spans="1:1" x14ac:dyDescent="0.45">
      <c r="A979" s="1"/>
    </row>
    <row r="980" spans="1:1" x14ac:dyDescent="0.45">
      <c r="A980" s="1"/>
    </row>
    <row r="981" spans="1:1" x14ac:dyDescent="0.45">
      <c r="A981" s="1"/>
    </row>
    <row r="982" spans="1:1" x14ac:dyDescent="0.45">
      <c r="A982" s="1"/>
    </row>
    <row r="983" spans="1:1" x14ac:dyDescent="0.45">
      <c r="A983" s="1"/>
    </row>
    <row r="984" spans="1:1" x14ac:dyDescent="0.45">
      <c r="A984" s="1"/>
    </row>
    <row r="985" spans="1:1" x14ac:dyDescent="0.45">
      <c r="A985" s="1"/>
    </row>
    <row r="986" spans="1:1" x14ac:dyDescent="0.45">
      <c r="A986" s="1"/>
    </row>
    <row r="987" spans="1:1" x14ac:dyDescent="0.45">
      <c r="A987" s="1"/>
    </row>
    <row r="988" spans="1:1" x14ac:dyDescent="0.45">
      <c r="A988" s="1"/>
    </row>
    <row r="989" spans="1:1" x14ac:dyDescent="0.45">
      <c r="A989" s="1"/>
    </row>
    <row r="990" spans="1:1" x14ac:dyDescent="0.45">
      <c r="A990" s="1"/>
    </row>
    <row r="991" spans="1:1" x14ac:dyDescent="0.45">
      <c r="A991" s="1"/>
    </row>
    <row r="992" spans="1:1" x14ac:dyDescent="0.45">
      <c r="A992" s="1"/>
    </row>
    <row r="993" spans="1:1" x14ac:dyDescent="0.45">
      <c r="A993" s="1"/>
    </row>
    <row r="994" spans="1:1" x14ac:dyDescent="0.45">
      <c r="A994" s="1"/>
    </row>
    <row r="995" spans="1:1" x14ac:dyDescent="0.45">
      <c r="A995" s="1"/>
    </row>
    <row r="996" spans="1:1" x14ac:dyDescent="0.45">
      <c r="A996" s="1"/>
    </row>
    <row r="997" spans="1:1" x14ac:dyDescent="0.45">
      <c r="A997" s="1"/>
    </row>
    <row r="998" spans="1:1" x14ac:dyDescent="0.45">
      <c r="A998" s="1"/>
    </row>
    <row r="999" spans="1:1" x14ac:dyDescent="0.45">
      <c r="A999" s="1"/>
    </row>
    <row r="1000" spans="1:1" x14ac:dyDescent="0.45">
      <c r="A1000" s="1"/>
    </row>
    <row r="1001" spans="1:1" x14ac:dyDescent="0.45">
      <c r="A1001" s="1"/>
    </row>
    <row r="1002" spans="1:1" x14ac:dyDescent="0.45">
      <c r="A1002" s="1"/>
    </row>
    <row r="1003" spans="1:1" x14ac:dyDescent="0.45">
      <c r="A1003" s="1"/>
    </row>
    <row r="1004" spans="1:1" x14ac:dyDescent="0.45">
      <c r="A1004" s="1"/>
    </row>
    <row r="1005" spans="1:1" x14ac:dyDescent="0.45">
      <c r="A1005" s="1"/>
    </row>
    <row r="1006" spans="1:1" x14ac:dyDescent="0.45">
      <c r="A1006" s="1"/>
    </row>
    <row r="1007" spans="1:1" x14ac:dyDescent="0.45">
      <c r="A1007" s="1"/>
    </row>
    <row r="1008" spans="1:1" x14ac:dyDescent="0.45">
      <c r="A1008" s="1"/>
    </row>
    <row r="1009" spans="1:1" x14ac:dyDescent="0.45">
      <c r="A1009" s="1"/>
    </row>
    <row r="1010" spans="1:1" x14ac:dyDescent="0.45">
      <c r="A1010" s="1"/>
    </row>
    <row r="1011" spans="1:1" x14ac:dyDescent="0.45">
      <c r="A1011" s="1"/>
    </row>
    <row r="1012" spans="1:1" x14ac:dyDescent="0.45">
      <c r="A1012" s="1"/>
    </row>
    <row r="1013" spans="1:1" x14ac:dyDescent="0.45">
      <c r="A1013" s="1"/>
    </row>
    <row r="1014" spans="1:1" x14ac:dyDescent="0.45">
      <c r="A1014" s="1"/>
    </row>
    <row r="1015" spans="1:1" x14ac:dyDescent="0.45">
      <c r="A1015" s="1"/>
    </row>
    <row r="1016" spans="1:1" x14ac:dyDescent="0.45">
      <c r="A1016" s="1"/>
    </row>
    <row r="1017" spans="1:1" x14ac:dyDescent="0.45">
      <c r="A1017" s="1"/>
    </row>
    <row r="1018" spans="1:1" x14ac:dyDescent="0.45">
      <c r="A1018" s="1"/>
    </row>
    <row r="1019" spans="1:1" x14ac:dyDescent="0.45">
      <c r="A1019" s="1"/>
    </row>
    <row r="1020" spans="1:1" x14ac:dyDescent="0.45">
      <c r="A1020" s="1"/>
    </row>
    <row r="1021" spans="1:1" x14ac:dyDescent="0.45">
      <c r="A1021" s="1"/>
    </row>
    <row r="1022" spans="1:1" x14ac:dyDescent="0.45">
      <c r="A1022" s="1"/>
    </row>
    <row r="1023" spans="1:1" x14ac:dyDescent="0.45">
      <c r="A1023" s="1"/>
    </row>
    <row r="1024" spans="1:1" x14ac:dyDescent="0.45">
      <c r="A1024" s="1"/>
    </row>
    <row r="1025" spans="1:1" x14ac:dyDescent="0.45">
      <c r="A1025" s="1"/>
    </row>
    <row r="1026" spans="1:1" x14ac:dyDescent="0.45">
      <c r="A1026" s="1"/>
    </row>
    <row r="1027" spans="1:1" x14ac:dyDescent="0.45">
      <c r="A1027" s="1"/>
    </row>
    <row r="1028" spans="1:1" x14ac:dyDescent="0.45">
      <c r="A1028" s="1"/>
    </row>
    <row r="1029" spans="1:1" x14ac:dyDescent="0.45">
      <c r="A1029" s="1"/>
    </row>
    <row r="1030" spans="1:1" x14ac:dyDescent="0.45">
      <c r="A1030" s="1"/>
    </row>
    <row r="1031" spans="1:1" x14ac:dyDescent="0.45">
      <c r="A1031" s="1"/>
    </row>
    <row r="1032" spans="1:1" x14ac:dyDescent="0.45">
      <c r="A1032" s="1"/>
    </row>
    <row r="1033" spans="1:1" x14ac:dyDescent="0.45">
      <c r="A1033" s="1"/>
    </row>
    <row r="1034" spans="1:1" x14ac:dyDescent="0.45">
      <c r="A1034" s="1"/>
    </row>
    <row r="1035" spans="1:1" x14ac:dyDescent="0.45">
      <c r="A1035" s="1"/>
    </row>
    <row r="1036" spans="1:1" x14ac:dyDescent="0.45">
      <c r="A1036" s="1"/>
    </row>
    <row r="1037" spans="1:1" x14ac:dyDescent="0.45">
      <c r="A1037" s="1"/>
    </row>
    <row r="1038" spans="1:1" x14ac:dyDescent="0.45">
      <c r="A1038" s="1"/>
    </row>
    <row r="1039" spans="1:1" x14ac:dyDescent="0.45">
      <c r="A1039" s="1"/>
    </row>
    <row r="1040" spans="1:1" x14ac:dyDescent="0.45">
      <c r="A1040" s="1"/>
    </row>
    <row r="1041" spans="1:1" x14ac:dyDescent="0.45">
      <c r="A1041" s="1"/>
    </row>
    <row r="1042" spans="1:1" x14ac:dyDescent="0.45">
      <c r="A1042" s="1"/>
    </row>
    <row r="1043" spans="1:1" x14ac:dyDescent="0.45">
      <c r="A1043" s="1"/>
    </row>
    <row r="1044" spans="1:1" x14ac:dyDescent="0.45">
      <c r="A1044" s="1"/>
    </row>
    <row r="1045" spans="1:1" x14ac:dyDescent="0.45">
      <c r="A1045" s="1"/>
    </row>
    <row r="1046" spans="1:1" x14ac:dyDescent="0.45">
      <c r="A1046" s="1"/>
    </row>
    <row r="1047" spans="1:1" x14ac:dyDescent="0.45">
      <c r="A1047" s="1"/>
    </row>
    <row r="1048" spans="1:1" x14ac:dyDescent="0.45">
      <c r="A1048" s="1"/>
    </row>
    <row r="1049" spans="1:1" x14ac:dyDescent="0.45">
      <c r="A1049" s="1"/>
    </row>
    <row r="1050" spans="1:1" x14ac:dyDescent="0.45">
      <c r="A1050" s="1"/>
    </row>
    <row r="1051" spans="1:1" x14ac:dyDescent="0.45">
      <c r="A1051" s="1"/>
    </row>
    <row r="1052" spans="1:1" x14ac:dyDescent="0.45">
      <c r="A1052" s="1"/>
    </row>
    <row r="1053" spans="1:1" x14ac:dyDescent="0.45">
      <c r="A1053" s="1"/>
    </row>
    <row r="1054" spans="1:1" x14ac:dyDescent="0.45">
      <c r="A1054" s="1"/>
    </row>
    <row r="1055" spans="1:1" x14ac:dyDescent="0.45">
      <c r="A1055" s="1"/>
    </row>
    <row r="1056" spans="1:1" x14ac:dyDescent="0.45">
      <c r="A1056" s="1"/>
    </row>
    <row r="1057" spans="1:1" x14ac:dyDescent="0.45">
      <c r="A1057" s="1"/>
    </row>
    <row r="1058" spans="1:1" x14ac:dyDescent="0.45">
      <c r="A1058" s="1"/>
    </row>
    <row r="1059" spans="1:1" x14ac:dyDescent="0.45">
      <c r="A1059" s="1"/>
    </row>
    <row r="1060" spans="1:1" x14ac:dyDescent="0.45">
      <c r="A1060" s="1"/>
    </row>
    <row r="1061" spans="1:1" x14ac:dyDescent="0.45">
      <c r="A1061" s="1"/>
    </row>
    <row r="1062" spans="1:1" x14ac:dyDescent="0.45">
      <c r="A1062" s="1"/>
    </row>
    <row r="1063" spans="1:1" x14ac:dyDescent="0.45">
      <c r="A1063" s="1"/>
    </row>
    <row r="1064" spans="1:1" x14ac:dyDescent="0.45">
      <c r="A1064" s="1"/>
    </row>
    <row r="1065" spans="1:1" x14ac:dyDescent="0.45">
      <c r="A1065" s="1"/>
    </row>
    <row r="1066" spans="1:1" x14ac:dyDescent="0.45">
      <c r="A1066" s="1"/>
    </row>
    <row r="1067" spans="1:1" x14ac:dyDescent="0.45">
      <c r="A1067" s="1"/>
    </row>
    <row r="1068" spans="1:1" x14ac:dyDescent="0.45">
      <c r="A1068" s="1"/>
    </row>
    <row r="1069" spans="1:1" x14ac:dyDescent="0.45">
      <c r="A1069" s="1"/>
    </row>
    <row r="1070" spans="1:1" x14ac:dyDescent="0.45">
      <c r="A1070" s="1"/>
    </row>
    <row r="1071" spans="1:1" x14ac:dyDescent="0.45">
      <c r="A1071" s="1"/>
    </row>
    <row r="1072" spans="1:1" x14ac:dyDescent="0.45">
      <c r="A1072" s="1"/>
    </row>
    <row r="1073" spans="1:1" x14ac:dyDescent="0.45">
      <c r="A1073" s="1"/>
    </row>
    <row r="1074" spans="1:1" x14ac:dyDescent="0.45">
      <c r="A1074" s="1"/>
    </row>
    <row r="1075" spans="1:1" x14ac:dyDescent="0.45">
      <c r="A1075" s="1"/>
    </row>
    <row r="1076" spans="1:1" x14ac:dyDescent="0.45">
      <c r="A1076" s="1"/>
    </row>
    <row r="1077" spans="1:1" x14ac:dyDescent="0.45">
      <c r="A1077" s="1"/>
    </row>
    <row r="1078" spans="1:1" x14ac:dyDescent="0.45">
      <c r="A1078" s="1"/>
    </row>
    <row r="1079" spans="1:1" x14ac:dyDescent="0.45">
      <c r="A1079" s="1"/>
    </row>
    <row r="1080" spans="1:1" x14ac:dyDescent="0.45">
      <c r="A1080" s="1"/>
    </row>
    <row r="1081" spans="1:1" x14ac:dyDescent="0.45">
      <c r="A1081" s="1"/>
    </row>
    <row r="1082" spans="1:1" x14ac:dyDescent="0.45">
      <c r="A1082" s="1"/>
    </row>
    <row r="1083" spans="1:1" x14ac:dyDescent="0.45">
      <c r="A1083" s="1"/>
    </row>
    <row r="1084" spans="1:1" x14ac:dyDescent="0.45">
      <c r="A1084" s="1"/>
    </row>
    <row r="1085" spans="1:1" x14ac:dyDescent="0.45">
      <c r="A1085" s="1"/>
    </row>
    <row r="1086" spans="1:1" x14ac:dyDescent="0.45">
      <c r="A1086" s="1"/>
    </row>
    <row r="1087" spans="1:1" x14ac:dyDescent="0.45">
      <c r="A1087" s="1"/>
    </row>
    <row r="1088" spans="1:1" x14ac:dyDescent="0.45">
      <c r="A1088" s="1"/>
    </row>
    <row r="1089" spans="1:1" x14ac:dyDescent="0.45">
      <c r="A1089" s="1"/>
    </row>
    <row r="1090" spans="1:1" x14ac:dyDescent="0.45">
      <c r="A1090" s="1"/>
    </row>
    <row r="1091" spans="1:1" x14ac:dyDescent="0.45">
      <c r="A1091" s="1"/>
    </row>
    <row r="1092" spans="1:1" x14ac:dyDescent="0.45">
      <c r="A1092" s="1"/>
    </row>
    <row r="1093" spans="1:1" x14ac:dyDescent="0.45">
      <c r="A1093" s="1"/>
    </row>
    <row r="1094" spans="1:1" x14ac:dyDescent="0.45">
      <c r="A1094" s="1"/>
    </row>
    <row r="1095" spans="1:1" x14ac:dyDescent="0.45">
      <c r="A1095" s="1"/>
    </row>
    <row r="1096" spans="1:1" x14ac:dyDescent="0.45">
      <c r="A1096" s="1"/>
    </row>
    <row r="1097" spans="1:1" x14ac:dyDescent="0.45">
      <c r="A1097" s="1"/>
    </row>
    <row r="1098" spans="1:1" x14ac:dyDescent="0.45">
      <c r="A1098" s="1"/>
    </row>
    <row r="1099" spans="1:1" x14ac:dyDescent="0.45">
      <c r="A1099" s="1"/>
    </row>
    <row r="1100" spans="1:1" x14ac:dyDescent="0.45">
      <c r="A1100" s="1"/>
    </row>
    <row r="1101" spans="1:1" x14ac:dyDescent="0.45">
      <c r="A1101" s="1"/>
    </row>
    <row r="1102" spans="1:1" x14ac:dyDescent="0.45">
      <c r="A1102" s="1"/>
    </row>
    <row r="1103" spans="1:1" x14ac:dyDescent="0.45">
      <c r="A1103" s="1"/>
    </row>
    <row r="1104" spans="1:1" x14ac:dyDescent="0.45">
      <c r="A1104" s="1"/>
    </row>
    <row r="1105" spans="1:1" x14ac:dyDescent="0.45">
      <c r="A1105" s="1"/>
    </row>
    <row r="1106" spans="1:1" x14ac:dyDescent="0.45">
      <c r="A1106" s="1"/>
    </row>
    <row r="1107" spans="1:1" x14ac:dyDescent="0.45">
      <c r="A1107" s="1"/>
    </row>
    <row r="1108" spans="1:1" x14ac:dyDescent="0.45">
      <c r="A1108" s="1"/>
    </row>
    <row r="1109" spans="1:1" x14ac:dyDescent="0.45">
      <c r="A1109" s="1"/>
    </row>
    <row r="1110" spans="1:1" x14ac:dyDescent="0.45">
      <c r="A1110" s="1"/>
    </row>
    <row r="1111" spans="1:1" x14ac:dyDescent="0.45">
      <c r="A1111" s="1"/>
    </row>
    <row r="1112" spans="1:1" x14ac:dyDescent="0.45">
      <c r="A1112" s="1"/>
    </row>
    <row r="1113" spans="1:1" x14ac:dyDescent="0.45">
      <c r="A1113" s="1"/>
    </row>
    <row r="1114" spans="1:1" x14ac:dyDescent="0.45">
      <c r="A1114" s="1"/>
    </row>
    <row r="1115" spans="1:1" x14ac:dyDescent="0.45">
      <c r="A1115" s="1"/>
    </row>
    <row r="1116" spans="1:1" x14ac:dyDescent="0.45">
      <c r="A1116" s="1"/>
    </row>
    <row r="1117" spans="1:1" x14ac:dyDescent="0.45">
      <c r="A1117" s="1"/>
    </row>
    <row r="1118" spans="1:1" x14ac:dyDescent="0.45">
      <c r="A1118" s="1"/>
    </row>
    <row r="1119" spans="1:1" x14ac:dyDescent="0.45">
      <c r="A1119" s="1"/>
    </row>
    <row r="1120" spans="1:1" x14ac:dyDescent="0.45">
      <c r="A1120" s="1"/>
    </row>
    <row r="1121" spans="1:1" x14ac:dyDescent="0.45">
      <c r="A1121" s="1"/>
    </row>
    <row r="1122" spans="1:1" x14ac:dyDescent="0.45">
      <c r="A1122" s="1"/>
    </row>
    <row r="1123" spans="1:1" x14ac:dyDescent="0.45">
      <c r="A1123" s="1"/>
    </row>
    <row r="1124" spans="1:1" x14ac:dyDescent="0.45">
      <c r="A1124" s="1"/>
    </row>
    <row r="1125" spans="1:1" x14ac:dyDescent="0.45">
      <c r="A1125" s="1"/>
    </row>
    <row r="1126" spans="1:1" x14ac:dyDescent="0.45">
      <c r="A1126" s="1"/>
    </row>
    <row r="1127" spans="1:1" x14ac:dyDescent="0.45">
      <c r="A1127" s="1"/>
    </row>
    <row r="1128" spans="1:1" x14ac:dyDescent="0.45">
      <c r="A1128" s="1"/>
    </row>
    <row r="1129" spans="1:1" x14ac:dyDescent="0.45">
      <c r="A1129" s="1"/>
    </row>
    <row r="1130" spans="1:1" x14ac:dyDescent="0.45">
      <c r="A1130" s="1"/>
    </row>
    <row r="1131" spans="1:1" x14ac:dyDescent="0.45">
      <c r="A1131" s="1"/>
    </row>
    <row r="1132" spans="1:1" x14ac:dyDescent="0.45">
      <c r="A1132" s="1"/>
    </row>
    <row r="1133" spans="1:1" x14ac:dyDescent="0.45">
      <c r="A1133" s="1"/>
    </row>
    <row r="1134" spans="1:1" x14ac:dyDescent="0.45">
      <c r="A1134" s="1"/>
    </row>
    <row r="1135" spans="1:1" x14ac:dyDescent="0.45">
      <c r="A1135" s="1"/>
    </row>
    <row r="1136" spans="1:1" x14ac:dyDescent="0.45">
      <c r="A1136" s="1"/>
    </row>
    <row r="1137" spans="1:1" x14ac:dyDescent="0.45">
      <c r="A1137" s="1"/>
    </row>
    <row r="1138" spans="1:1" x14ac:dyDescent="0.45">
      <c r="A1138" s="1"/>
    </row>
    <row r="1139" spans="1:1" x14ac:dyDescent="0.45">
      <c r="A1139" s="1"/>
    </row>
    <row r="1140" spans="1:1" x14ac:dyDescent="0.45">
      <c r="A1140" s="1"/>
    </row>
    <row r="1141" spans="1:1" x14ac:dyDescent="0.45">
      <c r="A1141" s="1"/>
    </row>
    <row r="1142" spans="1:1" x14ac:dyDescent="0.45">
      <c r="A1142" s="1"/>
    </row>
    <row r="1143" spans="1:1" x14ac:dyDescent="0.45">
      <c r="A1143" s="1"/>
    </row>
    <row r="1144" spans="1:1" x14ac:dyDescent="0.45">
      <c r="A1144" s="1"/>
    </row>
    <row r="1145" spans="1:1" x14ac:dyDescent="0.45">
      <c r="A1145" s="1"/>
    </row>
    <row r="1146" spans="1:1" x14ac:dyDescent="0.45">
      <c r="A1146" s="1"/>
    </row>
    <row r="1147" spans="1:1" x14ac:dyDescent="0.45">
      <c r="A1147" s="1"/>
    </row>
    <row r="1148" spans="1:1" x14ac:dyDescent="0.45">
      <c r="A1148" s="1"/>
    </row>
    <row r="1149" spans="1:1" x14ac:dyDescent="0.45">
      <c r="A1149" s="1"/>
    </row>
    <row r="1150" spans="1:1" x14ac:dyDescent="0.45">
      <c r="A1150" s="1"/>
    </row>
    <row r="1151" spans="1:1" x14ac:dyDescent="0.45">
      <c r="A1151" s="1"/>
    </row>
    <row r="1152" spans="1:1" x14ac:dyDescent="0.45">
      <c r="A1152" s="1"/>
    </row>
    <row r="1153" spans="1:1" x14ac:dyDescent="0.45">
      <c r="A1153" s="1"/>
    </row>
    <row r="1154" spans="1:1" x14ac:dyDescent="0.45">
      <c r="A1154" s="1"/>
    </row>
    <row r="1155" spans="1:1" x14ac:dyDescent="0.45">
      <c r="A1155" s="1"/>
    </row>
    <row r="1156" spans="1:1" x14ac:dyDescent="0.45">
      <c r="A1156" s="1"/>
    </row>
    <row r="1157" spans="1:1" x14ac:dyDescent="0.45">
      <c r="A1157" s="1"/>
    </row>
    <row r="1158" spans="1:1" x14ac:dyDescent="0.45">
      <c r="A1158" s="1"/>
    </row>
    <row r="1159" spans="1:1" x14ac:dyDescent="0.45">
      <c r="A1159" s="1"/>
    </row>
    <row r="1160" spans="1:1" x14ac:dyDescent="0.45">
      <c r="A1160" s="1"/>
    </row>
    <row r="1161" spans="1:1" x14ac:dyDescent="0.45">
      <c r="A1161" s="1"/>
    </row>
    <row r="1162" spans="1:1" x14ac:dyDescent="0.45">
      <c r="A1162" s="1"/>
    </row>
    <row r="1163" spans="1:1" x14ac:dyDescent="0.45">
      <c r="A1163" s="1"/>
    </row>
    <row r="1164" spans="1:1" x14ac:dyDescent="0.45">
      <c r="A1164" s="1"/>
    </row>
    <row r="1165" spans="1:1" x14ac:dyDescent="0.45">
      <c r="A1165" s="1"/>
    </row>
    <row r="1166" spans="1:1" x14ac:dyDescent="0.45">
      <c r="A1166" s="1"/>
    </row>
    <row r="1167" spans="1:1" x14ac:dyDescent="0.45">
      <c r="A1167" s="1"/>
    </row>
    <row r="1168" spans="1:1" x14ac:dyDescent="0.45">
      <c r="A1168" s="1"/>
    </row>
    <row r="1169" spans="1:1" x14ac:dyDescent="0.45">
      <c r="A1169" s="1"/>
    </row>
    <row r="1170" spans="1:1" x14ac:dyDescent="0.45">
      <c r="A1170" s="1"/>
    </row>
    <row r="1171" spans="1:1" x14ac:dyDescent="0.45">
      <c r="A1171" s="1"/>
    </row>
    <row r="1172" spans="1:1" x14ac:dyDescent="0.45">
      <c r="A1172" s="1"/>
    </row>
    <row r="1173" spans="1:1" x14ac:dyDescent="0.45">
      <c r="A1173" s="1"/>
    </row>
    <row r="1174" spans="1:1" x14ac:dyDescent="0.45">
      <c r="A1174" s="1"/>
    </row>
    <row r="1175" spans="1:1" x14ac:dyDescent="0.45">
      <c r="A1175" s="1"/>
    </row>
    <row r="1176" spans="1:1" x14ac:dyDescent="0.45">
      <c r="A1176" s="1"/>
    </row>
    <row r="1177" spans="1:1" x14ac:dyDescent="0.45">
      <c r="A1177" s="1"/>
    </row>
    <row r="1178" spans="1:1" x14ac:dyDescent="0.45">
      <c r="A1178" s="1"/>
    </row>
    <row r="1179" spans="1:1" x14ac:dyDescent="0.45">
      <c r="A1179" s="1"/>
    </row>
    <row r="1180" spans="1:1" x14ac:dyDescent="0.45">
      <c r="A1180" s="1"/>
    </row>
    <row r="1181" spans="1:1" x14ac:dyDescent="0.45">
      <c r="A1181" s="1"/>
    </row>
    <row r="1182" spans="1:1" x14ac:dyDescent="0.45">
      <c r="A1182" s="1"/>
    </row>
    <row r="1183" spans="1:1" x14ac:dyDescent="0.45">
      <c r="A1183" s="1"/>
    </row>
    <row r="1184" spans="1:1" x14ac:dyDescent="0.45">
      <c r="A1184" s="1"/>
    </row>
    <row r="1185" spans="1:1" x14ac:dyDescent="0.45">
      <c r="A1185" s="1"/>
    </row>
    <row r="1186" spans="1:1" x14ac:dyDescent="0.45">
      <c r="A1186" s="1"/>
    </row>
    <row r="1187" spans="1:1" x14ac:dyDescent="0.45">
      <c r="A1187" s="1"/>
    </row>
    <row r="1188" spans="1:1" x14ac:dyDescent="0.45">
      <c r="A1188" s="1"/>
    </row>
    <row r="1189" spans="1:1" x14ac:dyDescent="0.45">
      <c r="A1189" s="1"/>
    </row>
    <row r="1190" spans="1:1" x14ac:dyDescent="0.45">
      <c r="A1190" s="1"/>
    </row>
    <row r="1191" spans="1:1" x14ac:dyDescent="0.45">
      <c r="A1191" s="1"/>
    </row>
    <row r="1192" spans="1:1" x14ac:dyDescent="0.45">
      <c r="A1192" s="1"/>
    </row>
    <row r="1193" spans="1:1" x14ac:dyDescent="0.45">
      <c r="A1193" s="1"/>
    </row>
    <row r="1194" spans="1:1" x14ac:dyDescent="0.45">
      <c r="A1194" s="1"/>
    </row>
    <row r="1195" spans="1:1" x14ac:dyDescent="0.45">
      <c r="A1195" s="1"/>
    </row>
    <row r="1196" spans="1:1" x14ac:dyDescent="0.45">
      <c r="A1196" s="1"/>
    </row>
    <row r="1197" spans="1:1" x14ac:dyDescent="0.45">
      <c r="A1197" s="1"/>
    </row>
    <row r="1198" spans="1:1" x14ac:dyDescent="0.45">
      <c r="A1198" s="1"/>
    </row>
    <row r="1199" spans="1:1" x14ac:dyDescent="0.45">
      <c r="A1199" s="1"/>
    </row>
    <row r="1200" spans="1:1" x14ac:dyDescent="0.45">
      <c r="A1200" s="1"/>
    </row>
    <row r="1201" spans="1:1" x14ac:dyDescent="0.45">
      <c r="A1201" s="1"/>
    </row>
    <row r="1202" spans="1:1" x14ac:dyDescent="0.45">
      <c r="A1202" s="1"/>
    </row>
    <row r="1203" spans="1:1" x14ac:dyDescent="0.45">
      <c r="A1203" s="1"/>
    </row>
    <row r="1204" spans="1:1" x14ac:dyDescent="0.45">
      <c r="A1204" s="1"/>
    </row>
    <row r="1205" spans="1:1" x14ac:dyDescent="0.45">
      <c r="A1205" s="1"/>
    </row>
    <row r="1206" spans="1:1" x14ac:dyDescent="0.45">
      <c r="A1206" s="1"/>
    </row>
    <row r="1207" spans="1:1" x14ac:dyDescent="0.45">
      <c r="A1207" s="1"/>
    </row>
    <row r="1208" spans="1:1" x14ac:dyDescent="0.45">
      <c r="A1208" s="1"/>
    </row>
    <row r="1209" spans="1:1" x14ac:dyDescent="0.45">
      <c r="A1209" s="1"/>
    </row>
    <row r="1210" spans="1:1" x14ac:dyDescent="0.45">
      <c r="A1210" s="1"/>
    </row>
    <row r="1211" spans="1:1" x14ac:dyDescent="0.45">
      <c r="A1211" s="1"/>
    </row>
    <row r="1212" spans="1:1" x14ac:dyDescent="0.45">
      <c r="A1212" s="1"/>
    </row>
    <row r="1213" spans="1:1" x14ac:dyDescent="0.45">
      <c r="A1213" s="1"/>
    </row>
    <row r="1214" spans="1:1" x14ac:dyDescent="0.45">
      <c r="A1214" s="1"/>
    </row>
    <row r="1215" spans="1:1" x14ac:dyDescent="0.45">
      <c r="A1215" s="1"/>
    </row>
    <row r="1216" spans="1:1" x14ac:dyDescent="0.45">
      <c r="A1216" s="1"/>
    </row>
    <row r="1217" spans="1:1" x14ac:dyDescent="0.45">
      <c r="A1217" s="1"/>
    </row>
    <row r="1218" spans="1:1" x14ac:dyDescent="0.45">
      <c r="A1218" s="1"/>
    </row>
    <row r="1219" spans="1:1" x14ac:dyDescent="0.45">
      <c r="A1219" s="1"/>
    </row>
    <row r="1220" spans="1:1" x14ac:dyDescent="0.45">
      <c r="A1220" s="1"/>
    </row>
    <row r="1221" spans="1:1" x14ac:dyDescent="0.45">
      <c r="A1221" s="1"/>
    </row>
    <row r="1222" spans="1:1" x14ac:dyDescent="0.45">
      <c r="A1222" s="1"/>
    </row>
    <row r="1223" spans="1:1" x14ac:dyDescent="0.45">
      <c r="A1223" s="1"/>
    </row>
    <row r="1224" spans="1:1" x14ac:dyDescent="0.45">
      <c r="A1224" s="1"/>
    </row>
    <row r="1225" spans="1:1" x14ac:dyDescent="0.45">
      <c r="A1225" s="1"/>
    </row>
    <row r="1226" spans="1:1" x14ac:dyDescent="0.45">
      <c r="A1226" s="1"/>
    </row>
    <row r="1227" spans="1:1" x14ac:dyDescent="0.45">
      <c r="A1227" s="1"/>
    </row>
    <row r="1228" spans="1:1" x14ac:dyDescent="0.45">
      <c r="A1228" s="1"/>
    </row>
    <row r="1229" spans="1:1" x14ac:dyDescent="0.45">
      <c r="A1229" s="1"/>
    </row>
    <row r="1230" spans="1:1" x14ac:dyDescent="0.45">
      <c r="A1230" s="1"/>
    </row>
    <row r="1231" spans="1:1" x14ac:dyDescent="0.45">
      <c r="A1231" s="1"/>
    </row>
    <row r="1232" spans="1:1" x14ac:dyDescent="0.45">
      <c r="A1232" s="1"/>
    </row>
    <row r="1233" spans="1:1" x14ac:dyDescent="0.45">
      <c r="A1233" s="1"/>
    </row>
    <row r="1234" spans="1:1" x14ac:dyDescent="0.45">
      <c r="A1234" s="1"/>
    </row>
    <row r="1235" spans="1:1" x14ac:dyDescent="0.45">
      <c r="A1235" s="1"/>
    </row>
    <row r="1236" spans="1:1" x14ac:dyDescent="0.45">
      <c r="A1236" s="1"/>
    </row>
    <row r="1237" spans="1:1" x14ac:dyDescent="0.45">
      <c r="A1237" s="1"/>
    </row>
    <row r="1238" spans="1:1" x14ac:dyDescent="0.45">
      <c r="A1238" s="1"/>
    </row>
    <row r="1239" spans="1:1" x14ac:dyDescent="0.45">
      <c r="A1239" s="1"/>
    </row>
    <row r="1240" spans="1:1" x14ac:dyDescent="0.45">
      <c r="A1240" s="1"/>
    </row>
    <row r="1241" spans="1:1" x14ac:dyDescent="0.45">
      <c r="A1241" s="1"/>
    </row>
    <row r="1242" spans="1:1" x14ac:dyDescent="0.45">
      <c r="A1242" s="1"/>
    </row>
    <row r="1243" spans="1:1" x14ac:dyDescent="0.45">
      <c r="A1243" s="1"/>
    </row>
    <row r="1244" spans="1:1" x14ac:dyDescent="0.45">
      <c r="A1244" s="1"/>
    </row>
    <row r="1245" spans="1:1" x14ac:dyDescent="0.45">
      <c r="A1245" s="1"/>
    </row>
    <row r="1246" spans="1:1" x14ac:dyDescent="0.45">
      <c r="A1246" s="1"/>
    </row>
    <row r="1247" spans="1:1" x14ac:dyDescent="0.45">
      <c r="A1247" s="1"/>
    </row>
    <row r="1248" spans="1:1" x14ac:dyDescent="0.45">
      <c r="A1248" s="1"/>
    </row>
    <row r="1249" spans="1:1" x14ac:dyDescent="0.45">
      <c r="A1249" s="1"/>
    </row>
    <row r="1250" spans="1:1" x14ac:dyDescent="0.45">
      <c r="A1250" s="1"/>
    </row>
    <row r="1251" spans="1:1" x14ac:dyDescent="0.45">
      <c r="A1251" s="1"/>
    </row>
    <row r="1252" spans="1:1" x14ac:dyDescent="0.45">
      <c r="A1252" s="1"/>
    </row>
    <row r="1253" spans="1:1" x14ac:dyDescent="0.45">
      <c r="A1253" s="1"/>
    </row>
    <row r="1254" spans="1:1" x14ac:dyDescent="0.45">
      <c r="A1254" s="1"/>
    </row>
    <row r="1255" spans="1:1" x14ac:dyDescent="0.45">
      <c r="A1255" s="1"/>
    </row>
    <row r="1256" spans="1:1" x14ac:dyDescent="0.45">
      <c r="A1256" s="1"/>
    </row>
    <row r="1257" spans="1:1" x14ac:dyDescent="0.45">
      <c r="A1257" s="1"/>
    </row>
    <row r="1258" spans="1:1" x14ac:dyDescent="0.45">
      <c r="A1258" s="1"/>
    </row>
    <row r="1259" spans="1:1" x14ac:dyDescent="0.45">
      <c r="A1259" s="1"/>
    </row>
    <row r="1260" spans="1:1" x14ac:dyDescent="0.45">
      <c r="A1260" s="1"/>
    </row>
    <row r="1261" spans="1:1" x14ac:dyDescent="0.45">
      <c r="A1261" s="1"/>
    </row>
    <row r="1262" spans="1:1" x14ac:dyDescent="0.45">
      <c r="A1262" s="1"/>
    </row>
    <row r="1263" spans="1:1" x14ac:dyDescent="0.45">
      <c r="A1263" s="1"/>
    </row>
    <row r="1264" spans="1:1" x14ac:dyDescent="0.45">
      <c r="A1264" s="1"/>
    </row>
    <row r="1265" spans="1:1" x14ac:dyDescent="0.45">
      <c r="A1265" s="1"/>
    </row>
    <row r="1266" spans="1:1" x14ac:dyDescent="0.45">
      <c r="A1266" s="1"/>
    </row>
    <row r="1267" spans="1:1" x14ac:dyDescent="0.45">
      <c r="A1267" s="1"/>
    </row>
    <row r="1268" spans="1:1" x14ac:dyDescent="0.45">
      <c r="A1268" s="1"/>
    </row>
    <row r="1269" spans="1:1" x14ac:dyDescent="0.45">
      <c r="A1269" s="1"/>
    </row>
    <row r="1270" spans="1:1" x14ac:dyDescent="0.45">
      <c r="A1270" s="1"/>
    </row>
    <row r="1271" spans="1:1" x14ac:dyDescent="0.45">
      <c r="A1271" s="1"/>
    </row>
    <row r="1272" spans="1:1" x14ac:dyDescent="0.45">
      <c r="A1272" s="1"/>
    </row>
    <row r="1273" spans="1:1" x14ac:dyDescent="0.45">
      <c r="A1273" s="1"/>
    </row>
    <row r="1274" spans="1:1" x14ac:dyDescent="0.45">
      <c r="A1274" s="1"/>
    </row>
    <row r="1275" spans="1:1" x14ac:dyDescent="0.45">
      <c r="A1275" s="1"/>
    </row>
    <row r="1276" spans="1:1" x14ac:dyDescent="0.45">
      <c r="A1276" s="1"/>
    </row>
    <row r="1277" spans="1:1" x14ac:dyDescent="0.45">
      <c r="A1277" s="1"/>
    </row>
    <row r="1278" spans="1:1" x14ac:dyDescent="0.45">
      <c r="A1278" s="1"/>
    </row>
    <row r="1279" spans="1:1" x14ac:dyDescent="0.45">
      <c r="A1279" s="1"/>
    </row>
    <row r="1280" spans="1:1" x14ac:dyDescent="0.45">
      <c r="A1280" s="1"/>
    </row>
    <row r="1281" spans="1:1" x14ac:dyDescent="0.45">
      <c r="A1281" s="1"/>
    </row>
    <row r="1282" spans="1:1" x14ac:dyDescent="0.45">
      <c r="A1282" s="1"/>
    </row>
    <row r="1283" spans="1:1" x14ac:dyDescent="0.45">
      <c r="A1283" s="1"/>
    </row>
    <row r="1284" spans="1:1" x14ac:dyDescent="0.45">
      <c r="A1284" s="1"/>
    </row>
    <row r="1285" spans="1:1" x14ac:dyDescent="0.45">
      <c r="A1285" s="1"/>
    </row>
    <row r="1286" spans="1:1" x14ac:dyDescent="0.45">
      <c r="A1286" s="1"/>
    </row>
    <row r="1287" spans="1:1" x14ac:dyDescent="0.45">
      <c r="A1287" s="1"/>
    </row>
    <row r="1288" spans="1:1" x14ac:dyDescent="0.45">
      <c r="A1288" s="1"/>
    </row>
    <row r="1289" spans="1:1" x14ac:dyDescent="0.45">
      <c r="A1289" s="1"/>
    </row>
    <row r="1290" spans="1:1" x14ac:dyDescent="0.45">
      <c r="A1290" s="1"/>
    </row>
    <row r="1291" spans="1:1" x14ac:dyDescent="0.45">
      <c r="A1291" s="1"/>
    </row>
    <row r="1292" spans="1:1" x14ac:dyDescent="0.45">
      <c r="A1292" s="1"/>
    </row>
    <row r="1293" spans="1:1" x14ac:dyDescent="0.45">
      <c r="A1293" s="1"/>
    </row>
    <row r="1294" spans="1:1" x14ac:dyDescent="0.45">
      <c r="A1294" s="1"/>
    </row>
    <row r="1295" spans="1:1" x14ac:dyDescent="0.45">
      <c r="A1295" s="1"/>
    </row>
    <row r="1296" spans="1:1" x14ac:dyDescent="0.45">
      <c r="A1296" s="1"/>
    </row>
    <row r="1297" spans="1:1" x14ac:dyDescent="0.45">
      <c r="A1297" s="1"/>
    </row>
    <row r="1298" spans="1:1" x14ac:dyDescent="0.45">
      <c r="A1298" s="1"/>
    </row>
    <row r="1299" spans="1:1" x14ac:dyDescent="0.45">
      <c r="A1299" s="1"/>
    </row>
    <row r="1300" spans="1:1" x14ac:dyDescent="0.45">
      <c r="A1300" s="1"/>
    </row>
    <row r="1301" spans="1:1" x14ac:dyDescent="0.45">
      <c r="A1301" s="1"/>
    </row>
    <row r="1302" spans="1:1" x14ac:dyDescent="0.45">
      <c r="A1302" s="1"/>
    </row>
    <row r="1303" spans="1:1" x14ac:dyDescent="0.45">
      <c r="A1303" s="1"/>
    </row>
    <row r="1304" spans="1:1" x14ac:dyDescent="0.45">
      <c r="A1304" s="1"/>
    </row>
    <row r="1305" spans="1:1" x14ac:dyDescent="0.45">
      <c r="A1305" s="1"/>
    </row>
    <row r="1306" spans="1:1" x14ac:dyDescent="0.45">
      <c r="A1306" s="1"/>
    </row>
    <row r="1307" spans="1:1" x14ac:dyDescent="0.45">
      <c r="A1307" s="1"/>
    </row>
    <row r="1308" spans="1:1" x14ac:dyDescent="0.45">
      <c r="A1308" s="1"/>
    </row>
    <row r="1309" spans="1:1" x14ac:dyDescent="0.45">
      <c r="A1309" s="1"/>
    </row>
    <row r="1310" spans="1:1" x14ac:dyDescent="0.45">
      <c r="A1310" s="1"/>
    </row>
    <row r="1311" spans="1:1" x14ac:dyDescent="0.45">
      <c r="A1311" s="1"/>
    </row>
    <row r="1312" spans="1:1" x14ac:dyDescent="0.45">
      <c r="A1312" s="1"/>
    </row>
    <row r="1313" spans="1:1" x14ac:dyDescent="0.45">
      <c r="A1313" s="1"/>
    </row>
    <row r="1314" spans="1:1" x14ac:dyDescent="0.45">
      <c r="A1314" s="1"/>
    </row>
    <row r="1315" spans="1:1" x14ac:dyDescent="0.45">
      <c r="A1315" s="1"/>
    </row>
    <row r="1316" spans="1:1" x14ac:dyDescent="0.45">
      <c r="A1316" s="1"/>
    </row>
    <row r="1317" spans="1:1" x14ac:dyDescent="0.45">
      <c r="A1317" s="1"/>
    </row>
    <row r="1318" spans="1:1" x14ac:dyDescent="0.45">
      <c r="A1318" s="1"/>
    </row>
    <row r="1319" spans="1:1" x14ac:dyDescent="0.45">
      <c r="A1319" s="1"/>
    </row>
    <row r="1320" spans="1:1" x14ac:dyDescent="0.45">
      <c r="A1320" s="1"/>
    </row>
    <row r="1321" spans="1:1" x14ac:dyDescent="0.45">
      <c r="A1321" s="1"/>
    </row>
    <row r="1322" spans="1:1" x14ac:dyDescent="0.45">
      <c r="A1322" s="1"/>
    </row>
    <row r="1323" spans="1:1" x14ac:dyDescent="0.45">
      <c r="A1323" s="1"/>
    </row>
    <row r="1324" spans="1:1" x14ac:dyDescent="0.45">
      <c r="A1324" s="1"/>
    </row>
    <row r="1325" spans="1:1" x14ac:dyDescent="0.45">
      <c r="A1325" s="1"/>
    </row>
    <row r="1326" spans="1:1" x14ac:dyDescent="0.45">
      <c r="A1326" s="1"/>
    </row>
    <row r="1327" spans="1:1" x14ac:dyDescent="0.45">
      <c r="A1327" s="1"/>
    </row>
    <row r="1328" spans="1:1" x14ac:dyDescent="0.45">
      <c r="A1328" s="1"/>
    </row>
    <row r="1329" spans="1:1" x14ac:dyDescent="0.45">
      <c r="A1329" s="1"/>
    </row>
    <row r="1330" spans="1:1" x14ac:dyDescent="0.45">
      <c r="A1330" s="1"/>
    </row>
    <row r="1331" spans="1:1" x14ac:dyDescent="0.45">
      <c r="A1331" s="1"/>
    </row>
    <row r="1332" spans="1:1" x14ac:dyDescent="0.45">
      <c r="A1332" s="1"/>
    </row>
    <row r="1333" spans="1:1" x14ac:dyDescent="0.45">
      <c r="A1333" s="1"/>
    </row>
    <row r="1334" spans="1:1" x14ac:dyDescent="0.45">
      <c r="A1334" s="1"/>
    </row>
    <row r="1335" spans="1:1" x14ac:dyDescent="0.45">
      <c r="A1335" s="1"/>
    </row>
    <row r="1336" spans="1:1" x14ac:dyDescent="0.45">
      <c r="A1336" s="1"/>
    </row>
    <row r="1337" spans="1:1" x14ac:dyDescent="0.45">
      <c r="A1337" s="1"/>
    </row>
    <row r="1338" spans="1:1" x14ac:dyDescent="0.45">
      <c r="A1338" s="1"/>
    </row>
    <row r="1339" spans="1:1" x14ac:dyDescent="0.45">
      <c r="A1339" s="1"/>
    </row>
    <row r="1340" spans="1:1" x14ac:dyDescent="0.45">
      <c r="A1340" s="1"/>
    </row>
    <row r="1341" spans="1:1" x14ac:dyDescent="0.45">
      <c r="A1341" s="1"/>
    </row>
    <row r="1342" spans="1:1" x14ac:dyDescent="0.45">
      <c r="A1342" s="1"/>
    </row>
    <row r="1343" spans="1:1" x14ac:dyDescent="0.45">
      <c r="A1343" s="1"/>
    </row>
    <row r="1344" spans="1:1" x14ac:dyDescent="0.45">
      <c r="A1344" s="1"/>
    </row>
    <row r="1345" spans="1:1" x14ac:dyDescent="0.45">
      <c r="A1345" s="1"/>
    </row>
    <row r="1346" spans="1:1" x14ac:dyDescent="0.45">
      <c r="A1346" s="1"/>
    </row>
    <row r="1347" spans="1:1" x14ac:dyDescent="0.45">
      <c r="A1347" s="1"/>
    </row>
    <row r="1348" spans="1:1" x14ac:dyDescent="0.45">
      <c r="A1348" s="1"/>
    </row>
    <row r="1349" spans="1:1" x14ac:dyDescent="0.45">
      <c r="A1349" s="1"/>
    </row>
    <row r="1350" spans="1:1" x14ac:dyDescent="0.45">
      <c r="A1350" s="1"/>
    </row>
    <row r="1351" spans="1:1" x14ac:dyDescent="0.45">
      <c r="A1351" s="1"/>
    </row>
    <row r="1352" spans="1:1" x14ac:dyDescent="0.45">
      <c r="A1352" s="1"/>
    </row>
    <row r="1353" spans="1:1" x14ac:dyDescent="0.45">
      <c r="A1353" s="1"/>
    </row>
    <row r="1354" spans="1:1" x14ac:dyDescent="0.45">
      <c r="A1354" s="1"/>
    </row>
    <row r="1355" spans="1:1" x14ac:dyDescent="0.45">
      <c r="A1355" s="1"/>
    </row>
    <row r="1356" spans="1:1" x14ac:dyDescent="0.45">
      <c r="A1356" s="1"/>
    </row>
    <row r="1357" spans="1:1" x14ac:dyDescent="0.45">
      <c r="A1357" s="1"/>
    </row>
    <row r="1358" spans="1:1" x14ac:dyDescent="0.45">
      <c r="A1358" s="1"/>
    </row>
    <row r="1359" spans="1:1" x14ac:dyDescent="0.45">
      <c r="A1359" s="1"/>
    </row>
    <row r="1360" spans="1:1" x14ac:dyDescent="0.45">
      <c r="A1360" s="1"/>
    </row>
    <row r="1361" spans="1:1" x14ac:dyDescent="0.45">
      <c r="A1361" s="1"/>
    </row>
    <row r="1362" spans="1:1" x14ac:dyDescent="0.45">
      <c r="A1362" s="1"/>
    </row>
    <row r="1363" spans="1:1" x14ac:dyDescent="0.45">
      <c r="A1363" s="1"/>
    </row>
    <row r="1364" spans="1:1" x14ac:dyDescent="0.45">
      <c r="A1364" s="1"/>
    </row>
    <row r="1365" spans="1:1" x14ac:dyDescent="0.45">
      <c r="A1365" s="1"/>
    </row>
    <row r="1366" spans="1:1" x14ac:dyDescent="0.45">
      <c r="A1366" s="1"/>
    </row>
    <row r="1367" spans="1:1" x14ac:dyDescent="0.45">
      <c r="A1367" s="1"/>
    </row>
    <row r="1368" spans="1:1" x14ac:dyDescent="0.45">
      <c r="A1368" s="1"/>
    </row>
    <row r="1369" spans="1:1" x14ac:dyDescent="0.45">
      <c r="A1369" s="1"/>
    </row>
    <row r="1370" spans="1:1" x14ac:dyDescent="0.45">
      <c r="A1370" s="1"/>
    </row>
    <row r="1371" spans="1:1" x14ac:dyDescent="0.45">
      <c r="A1371" s="1"/>
    </row>
    <row r="1372" spans="1:1" x14ac:dyDescent="0.45">
      <c r="A1372" s="1"/>
    </row>
    <row r="1373" spans="1:1" x14ac:dyDescent="0.45">
      <c r="A1373" s="1"/>
    </row>
    <row r="1374" spans="1:1" x14ac:dyDescent="0.45">
      <c r="A1374" s="1"/>
    </row>
    <row r="1375" spans="1:1" x14ac:dyDescent="0.45">
      <c r="A1375" s="1"/>
    </row>
    <row r="1376" spans="1:1" x14ac:dyDescent="0.45">
      <c r="A1376" s="1"/>
    </row>
    <row r="1377" spans="1:1" x14ac:dyDescent="0.45">
      <c r="A1377" s="1"/>
    </row>
    <row r="1378" spans="1:1" x14ac:dyDescent="0.45">
      <c r="A1378" s="1"/>
    </row>
    <row r="1379" spans="1:1" x14ac:dyDescent="0.45">
      <c r="A1379" s="1"/>
    </row>
    <row r="1380" spans="1:1" x14ac:dyDescent="0.45">
      <c r="A1380" s="1"/>
    </row>
    <row r="1381" spans="1:1" x14ac:dyDescent="0.45">
      <c r="A1381" s="1"/>
    </row>
    <row r="1382" spans="1:1" x14ac:dyDescent="0.45">
      <c r="A1382" s="1"/>
    </row>
    <row r="1383" spans="1:1" x14ac:dyDescent="0.45">
      <c r="A1383" s="1"/>
    </row>
    <row r="1384" spans="1:1" x14ac:dyDescent="0.45">
      <c r="A1384" s="1"/>
    </row>
    <row r="1385" spans="1:1" x14ac:dyDescent="0.45">
      <c r="A1385" s="1"/>
    </row>
    <row r="1386" spans="1:1" x14ac:dyDescent="0.45">
      <c r="A1386" s="1"/>
    </row>
    <row r="1387" spans="1:1" x14ac:dyDescent="0.45">
      <c r="A1387" s="1"/>
    </row>
    <row r="1388" spans="1:1" x14ac:dyDescent="0.45">
      <c r="A1388" s="1"/>
    </row>
    <row r="1389" spans="1:1" x14ac:dyDescent="0.45">
      <c r="A1389" s="1"/>
    </row>
    <row r="1390" spans="1:1" x14ac:dyDescent="0.45">
      <c r="A1390" s="1"/>
    </row>
    <row r="1391" spans="1:1" x14ac:dyDescent="0.45">
      <c r="A1391" s="1"/>
    </row>
    <row r="1392" spans="1:1" x14ac:dyDescent="0.45">
      <c r="A1392" s="1"/>
    </row>
    <row r="1393" spans="1:1" x14ac:dyDescent="0.45">
      <c r="A1393" s="1"/>
    </row>
    <row r="1394" spans="1:1" x14ac:dyDescent="0.45">
      <c r="A1394" s="1"/>
    </row>
    <row r="1395" spans="1:1" x14ac:dyDescent="0.45">
      <c r="A1395" s="1"/>
    </row>
    <row r="1396" spans="1:1" x14ac:dyDescent="0.45">
      <c r="A1396" s="1"/>
    </row>
    <row r="1397" spans="1:1" x14ac:dyDescent="0.45">
      <c r="A1397" s="1"/>
    </row>
    <row r="1398" spans="1:1" x14ac:dyDescent="0.45">
      <c r="A1398" s="1"/>
    </row>
    <row r="1399" spans="1:1" x14ac:dyDescent="0.45">
      <c r="A1399" s="1"/>
    </row>
    <row r="1400" spans="1:1" x14ac:dyDescent="0.45">
      <c r="A1400" s="1"/>
    </row>
    <row r="1401" spans="1:1" x14ac:dyDescent="0.45">
      <c r="A1401" s="1"/>
    </row>
    <row r="1402" spans="1:1" x14ac:dyDescent="0.45">
      <c r="A1402" s="1"/>
    </row>
    <row r="1403" spans="1:1" x14ac:dyDescent="0.45">
      <c r="A1403" s="1"/>
    </row>
    <row r="1404" spans="1:1" x14ac:dyDescent="0.45">
      <c r="A1404" s="1"/>
    </row>
    <row r="1405" spans="1:1" x14ac:dyDescent="0.45">
      <c r="A1405" s="1"/>
    </row>
    <row r="1406" spans="1:1" x14ac:dyDescent="0.45">
      <c r="A1406" s="1"/>
    </row>
    <row r="1407" spans="1:1" x14ac:dyDescent="0.45">
      <c r="A1407" s="1"/>
    </row>
    <row r="1408" spans="1:1" x14ac:dyDescent="0.45">
      <c r="A1408" s="1"/>
    </row>
    <row r="1409" spans="1:1" x14ac:dyDescent="0.45">
      <c r="A1409" s="1"/>
    </row>
    <row r="1410" spans="1:1" x14ac:dyDescent="0.45">
      <c r="A1410" s="1"/>
    </row>
    <row r="1411" spans="1:1" x14ac:dyDescent="0.45">
      <c r="A1411" s="1"/>
    </row>
  </sheetData>
  <sortState ref="A2:F1411">
    <sortCondition ref="A2:A141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127"/>
  <sheetViews>
    <sheetView topLeftCell="A52" workbookViewId="0">
      <selection activeCell="I6" sqref="I6"/>
    </sheetView>
  </sheetViews>
  <sheetFormatPr defaultColWidth="10.796875" defaultRowHeight="16.149999999999999" x14ac:dyDescent="0.45"/>
  <cols>
    <col min="1" max="1" width="10.796875" style="30"/>
    <col min="2" max="3" width="13.796875" customWidth="1"/>
    <col min="4" max="4" width="13.33203125" customWidth="1"/>
    <col min="5" max="5" width="22.6640625" customWidth="1"/>
    <col min="7" max="7" width="17.33203125" customWidth="1"/>
    <col min="8" max="8" width="15.46484375" customWidth="1"/>
    <col min="9" max="9" width="19.1328125" customWidth="1"/>
  </cols>
  <sheetData>
    <row r="1" spans="1:9" ht="16.5" thickBot="1" x14ac:dyDescent="0.5">
      <c r="A1" s="30" t="s">
        <v>23</v>
      </c>
      <c r="B1" t="s">
        <v>24</v>
      </c>
      <c r="C1" t="s">
        <v>25</v>
      </c>
      <c r="D1" t="s">
        <v>33</v>
      </c>
      <c r="E1" t="s">
        <v>27</v>
      </c>
      <c r="F1" t="s">
        <v>26</v>
      </c>
      <c r="H1" s="23" t="s">
        <v>28</v>
      </c>
    </row>
    <row r="2" spans="1:9" x14ac:dyDescent="0.45">
      <c r="A2" s="30">
        <v>40534</v>
      </c>
      <c r="B2">
        <v>15.122999999999999</v>
      </c>
      <c r="C2">
        <v>21.770569999999999</v>
      </c>
      <c r="D2">
        <v>0</v>
      </c>
      <c r="F2">
        <v>0</v>
      </c>
      <c r="H2" s="23" t="s">
        <v>29</v>
      </c>
      <c r="I2" s="22" t="s">
        <v>48</v>
      </c>
    </row>
    <row r="3" spans="1:9" x14ac:dyDescent="0.45">
      <c r="A3" s="30">
        <v>40535</v>
      </c>
      <c r="B3">
        <v>14.84802</v>
      </c>
      <c r="C3">
        <v>22.761810000000001</v>
      </c>
      <c r="D3">
        <v>-0.46214959797838184</v>
      </c>
      <c r="F3">
        <v>0</v>
      </c>
      <c r="H3" s="24" t="s">
        <v>30</v>
      </c>
      <c r="I3" s="12" t="s">
        <v>49</v>
      </c>
    </row>
    <row r="4" spans="1:9" x14ac:dyDescent="0.45">
      <c r="A4" s="30">
        <v>40536</v>
      </c>
      <c r="B4">
        <v>14.84802</v>
      </c>
      <c r="C4">
        <v>22.61496</v>
      </c>
      <c r="D4">
        <v>-0.45119619927559707</v>
      </c>
      <c r="F4">
        <v>0</v>
      </c>
      <c r="H4" s="24" t="s">
        <v>31</v>
      </c>
      <c r="I4" s="12">
        <v>-0.66846053056629806</v>
      </c>
    </row>
    <row r="5" spans="1:9" ht="16.5" thickBot="1" x14ac:dyDescent="0.5">
      <c r="A5" s="30">
        <v>40539</v>
      </c>
      <c r="B5">
        <v>15.275729999999999</v>
      </c>
      <c r="C5">
        <v>21.990849999999998</v>
      </c>
      <c r="D5">
        <v>-0.36920873309760815</v>
      </c>
      <c r="F5">
        <v>0</v>
      </c>
      <c r="H5" s="19" t="s">
        <v>32</v>
      </c>
      <c r="I5" s="14">
        <v>0.35175165639267192</v>
      </c>
    </row>
    <row r="6" spans="1:9" ht="16.5" thickBot="1" x14ac:dyDescent="0.5">
      <c r="A6" s="30">
        <v>40540</v>
      </c>
      <c r="B6">
        <v>15.214600000000001</v>
      </c>
      <c r="C6">
        <v>22.027560000000001</v>
      </c>
      <c r="D6">
        <v>-0.3770073677097372</v>
      </c>
      <c r="F6">
        <v>0</v>
      </c>
      <c r="H6" s="31" t="s">
        <v>34</v>
      </c>
      <c r="I6" s="8">
        <f>SUM(F2:F127)</f>
        <v>7.5698699999999999</v>
      </c>
    </row>
    <row r="7" spans="1:9" x14ac:dyDescent="0.45">
      <c r="A7" s="30">
        <v>40541</v>
      </c>
      <c r="B7">
        <v>16.253399999999999</v>
      </c>
      <c r="C7">
        <v>21.330020000000001</v>
      </c>
      <c r="D7">
        <v>-0.24111039504535814</v>
      </c>
      <c r="F7">
        <v>0</v>
      </c>
    </row>
    <row r="8" spans="1:9" x14ac:dyDescent="0.45">
      <c r="A8" s="30">
        <v>40542</v>
      </c>
      <c r="B8">
        <v>16.161709999999999</v>
      </c>
      <c r="C8">
        <v>21.36673</v>
      </c>
      <c r="D8">
        <v>-0.2514337743908992</v>
      </c>
      <c r="F8">
        <v>0</v>
      </c>
    </row>
    <row r="9" spans="1:9" x14ac:dyDescent="0.45">
      <c r="A9" s="30">
        <v>40543</v>
      </c>
      <c r="B9">
        <v>16.406130000000001</v>
      </c>
      <c r="C9">
        <v>21.513580000000001</v>
      </c>
      <c r="D9">
        <v>-0.2422560280197037</v>
      </c>
      <c r="F9">
        <v>0</v>
      </c>
    </row>
    <row r="10" spans="1:9" x14ac:dyDescent="0.45">
      <c r="A10" s="30">
        <v>40546</v>
      </c>
      <c r="B10">
        <v>16.650549999999999</v>
      </c>
      <c r="C10">
        <v>21.18317</v>
      </c>
      <c r="D10">
        <v>-0.19747612877206344</v>
      </c>
      <c r="F10">
        <v>0</v>
      </c>
    </row>
    <row r="11" spans="1:9" x14ac:dyDescent="0.45">
      <c r="A11" s="30">
        <v>40547</v>
      </c>
      <c r="B11">
        <v>16.131150000000002</v>
      </c>
      <c r="C11">
        <v>21.256589999999999</v>
      </c>
      <c r="D11">
        <v>-0.24651763443562302</v>
      </c>
      <c r="F11">
        <v>0</v>
      </c>
    </row>
    <row r="12" spans="1:9" x14ac:dyDescent="0.45">
      <c r="A12" s="30">
        <v>40548</v>
      </c>
      <c r="B12">
        <v>15.67287</v>
      </c>
      <c r="C12">
        <v>21.073029999999999</v>
      </c>
      <c r="D12">
        <v>-0.27121941410484873</v>
      </c>
      <c r="F12">
        <v>0</v>
      </c>
    </row>
    <row r="13" spans="1:9" x14ac:dyDescent="0.45">
      <c r="A13" s="30">
        <v>40549</v>
      </c>
      <c r="B13">
        <v>15.764559999999999</v>
      </c>
      <c r="C13">
        <v>21.073029999999999</v>
      </c>
      <c r="D13">
        <v>-0.26367280483931399</v>
      </c>
      <c r="F13">
        <v>0</v>
      </c>
    </row>
    <row r="14" spans="1:9" x14ac:dyDescent="0.45">
      <c r="A14" s="30">
        <v>40550</v>
      </c>
      <c r="B14">
        <v>15.09244</v>
      </c>
      <c r="C14">
        <v>21.073029999999999</v>
      </c>
      <c r="D14">
        <v>-0.32037024788501767</v>
      </c>
      <c r="F14">
        <v>0</v>
      </c>
    </row>
    <row r="15" spans="1:9" x14ac:dyDescent="0.45">
      <c r="A15" s="30">
        <v>40553</v>
      </c>
      <c r="B15">
        <v>15.55071</v>
      </c>
      <c r="C15">
        <v>20.962890000000002</v>
      </c>
      <c r="D15">
        <v>-0.27494096502501275</v>
      </c>
      <c r="F15">
        <v>0</v>
      </c>
    </row>
    <row r="16" spans="1:9" x14ac:dyDescent="0.45">
      <c r="A16" s="30">
        <v>40554</v>
      </c>
      <c r="B16">
        <v>15.88673</v>
      </c>
      <c r="C16">
        <v>21.146450000000002</v>
      </c>
      <c r="D16">
        <v>-0.26111078577035585</v>
      </c>
      <c r="F16">
        <v>0</v>
      </c>
    </row>
    <row r="17" spans="1:6" x14ac:dyDescent="0.45">
      <c r="A17" s="30">
        <v>40555</v>
      </c>
      <c r="B17">
        <v>16.131150000000002</v>
      </c>
      <c r="C17">
        <v>21.073029999999999</v>
      </c>
      <c r="D17">
        <v>-0.23566002559088339</v>
      </c>
      <c r="F17">
        <v>0</v>
      </c>
    </row>
    <row r="18" spans="1:6" x14ac:dyDescent="0.45">
      <c r="A18" s="30">
        <v>40556</v>
      </c>
      <c r="B18">
        <v>16.10059</v>
      </c>
      <c r="C18">
        <v>21.073029999999999</v>
      </c>
      <c r="D18">
        <v>-0.23818055515084691</v>
      </c>
      <c r="F18">
        <v>0</v>
      </c>
    </row>
    <row r="19" spans="1:6" x14ac:dyDescent="0.45">
      <c r="A19" s="30">
        <v>40557</v>
      </c>
      <c r="B19">
        <v>16.008980000000001</v>
      </c>
      <c r="C19">
        <v>20.816040000000001</v>
      </c>
      <c r="D19">
        <v>-0.22654957433452672</v>
      </c>
      <c r="F19">
        <v>0</v>
      </c>
    </row>
    <row r="20" spans="1:6" x14ac:dyDescent="0.45">
      <c r="A20" s="30">
        <v>40560</v>
      </c>
      <c r="B20">
        <v>15.79513</v>
      </c>
      <c r="C20">
        <v>20.412199999999999</v>
      </c>
      <c r="D20">
        <v>-0.2140079918992337</v>
      </c>
      <c r="F20">
        <v>0</v>
      </c>
    </row>
    <row r="21" spans="1:6" x14ac:dyDescent="0.45">
      <c r="A21" s="30">
        <v>40561</v>
      </c>
      <c r="B21">
        <v>16.497820000000001</v>
      </c>
      <c r="C21">
        <v>20.045079999999999</v>
      </c>
      <c r="D21">
        <v>-0.12986086182543533</v>
      </c>
      <c r="F21">
        <v>0</v>
      </c>
    </row>
    <row r="22" spans="1:6" x14ac:dyDescent="0.45">
      <c r="A22" s="30">
        <v>40562</v>
      </c>
      <c r="B22">
        <v>16.650549999999999</v>
      </c>
      <c r="C22">
        <v>20.33878</v>
      </c>
      <c r="D22">
        <v>-0.13898893290328918</v>
      </c>
      <c r="F22">
        <v>0</v>
      </c>
    </row>
    <row r="23" spans="1:6" x14ac:dyDescent="0.45">
      <c r="A23" s="30">
        <v>40563</v>
      </c>
      <c r="B23">
        <v>16.436689999999999</v>
      </c>
      <c r="C23">
        <v>20.228639999999999</v>
      </c>
      <c r="D23">
        <v>-0.14850943147972329</v>
      </c>
      <c r="F23">
        <v>0</v>
      </c>
    </row>
    <row r="24" spans="1:6" x14ac:dyDescent="0.45">
      <c r="A24" s="30">
        <v>40564</v>
      </c>
      <c r="B24">
        <v>16.46726</v>
      </c>
      <c r="C24">
        <v>20.081790000000002</v>
      </c>
      <c r="D24">
        <v>-0.13505707369875197</v>
      </c>
      <c r="F24">
        <v>0</v>
      </c>
    </row>
    <row r="25" spans="1:6" x14ac:dyDescent="0.45">
      <c r="A25" s="30">
        <v>40567</v>
      </c>
      <c r="B25">
        <v>16.37557</v>
      </c>
      <c r="C25">
        <v>19.861509999999999</v>
      </c>
      <c r="D25">
        <v>-0.12618607188665698</v>
      </c>
      <c r="F25">
        <v>0</v>
      </c>
    </row>
    <row r="26" spans="1:6" x14ac:dyDescent="0.45">
      <c r="A26" s="30">
        <v>40568</v>
      </c>
      <c r="B26">
        <v>16.436689999999999</v>
      </c>
      <c r="C26">
        <v>19.714659999999999</v>
      </c>
      <c r="D26">
        <v>-0.11022664502468782</v>
      </c>
      <c r="F26">
        <v>0</v>
      </c>
    </row>
    <row r="27" spans="1:6" x14ac:dyDescent="0.45">
      <c r="A27" s="30">
        <v>40569</v>
      </c>
      <c r="B27">
        <v>16.558859999999999</v>
      </c>
      <c r="C27">
        <v>19.751380000000001</v>
      </c>
      <c r="D27">
        <v>-0.10293134080791089</v>
      </c>
      <c r="F27">
        <v>0</v>
      </c>
    </row>
    <row r="28" spans="1:6" x14ac:dyDescent="0.45">
      <c r="A28" s="30">
        <v>40570</v>
      </c>
      <c r="B28">
        <v>16.436689999999999</v>
      </c>
      <c r="C28">
        <v>19.898230000000002</v>
      </c>
      <c r="D28">
        <v>-0.12388055553721089</v>
      </c>
      <c r="F28">
        <v>0</v>
      </c>
    </row>
    <row r="29" spans="1:6" x14ac:dyDescent="0.45">
      <c r="A29" s="30">
        <v>40571</v>
      </c>
      <c r="B29">
        <v>16.314440000000001</v>
      </c>
      <c r="C29">
        <v>19.531099999999999</v>
      </c>
      <c r="D29">
        <v>-0.10648099333657335</v>
      </c>
      <c r="F29">
        <v>0</v>
      </c>
    </row>
    <row r="30" spans="1:6" x14ac:dyDescent="0.45">
      <c r="A30" s="30">
        <v>40582</v>
      </c>
      <c r="B30">
        <v>16.436689999999999</v>
      </c>
      <c r="C30">
        <v>19.714659999999999</v>
      </c>
      <c r="D30">
        <v>-0.11001329494777656</v>
      </c>
      <c r="F30">
        <v>0</v>
      </c>
    </row>
    <row r="31" spans="1:6" x14ac:dyDescent="0.45">
      <c r="A31" s="30">
        <v>40583</v>
      </c>
      <c r="B31">
        <v>16.07002</v>
      </c>
      <c r="C31">
        <v>19.751380000000001</v>
      </c>
      <c r="D31">
        <v>-0.14325128958153366</v>
      </c>
      <c r="F31">
        <v>0</v>
      </c>
    </row>
    <row r="32" spans="1:6" x14ac:dyDescent="0.45">
      <c r="A32" s="30">
        <v>40584</v>
      </c>
      <c r="B32">
        <v>15.33685</v>
      </c>
      <c r="C32">
        <v>19.420960000000001</v>
      </c>
      <c r="D32">
        <v>-0.1802687517078243</v>
      </c>
      <c r="F32">
        <v>0</v>
      </c>
    </row>
    <row r="33" spans="1:6" x14ac:dyDescent="0.45">
      <c r="A33" s="30">
        <v>40585</v>
      </c>
      <c r="B33">
        <v>14.63416</v>
      </c>
      <c r="C33">
        <v>19.017119999999998</v>
      </c>
      <c r="D33">
        <v>-0.20910768379292</v>
      </c>
      <c r="F33">
        <v>0</v>
      </c>
    </row>
    <row r="34" spans="1:6" x14ac:dyDescent="0.45">
      <c r="A34" s="30">
        <v>40588</v>
      </c>
      <c r="B34">
        <v>14.817460000000001</v>
      </c>
      <c r="C34">
        <v>18.723420000000001</v>
      </c>
      <c r="D34">
        <v>-0.17220293102857531</v>
      </c>
      <c r="F34">
        <v>0</v>
      </c>
    </row>
    <row r="35" spans="1:6" x14ac:dyDescent="0.45">
      <c r="A35" s="30">
        <v>40589</v>
      </c>
      <c r="B35">
        <v>14.51191</v>
      </c>
      <c r="C35">
        <v>18.356300000000001</v>
      </c>
      <c r="D35">
        <v>-0.17005075089644128</v>
      </c>
      <c r="F35">
        <v>0</v>
      </c>
    </row>
    <row r="36" spans="1:6" x14ac:dyDescent="0.45">
      <c r="A36" s="30">
        <v>40590</v>
      </c>
      <c r="B36">
        <v>14.51191</v>
      </c>
      <c r="C36">
        <v>18.39301</v>
      </c>
      <c r="D36">
        <v>-0.17276969832646794</v>
      </c>
      <c r="F36">
        <v>0</v>
      </c>
    </row>
    <row r="37" spans="1:6" x14ac:dyDescent="0.45">
      <c r="A37" s="30">
        <v>40591</v>
      </c>
      <c r="B37">
        <v>14.084199999999999</v>
      </c>
      <c r="C37">
        <v>18.9437</v>
      </c>
      <c r="D37">
        <v>-0.24862471837656375</v>
      </c>
      <c r="F37">
        <v>0</v>
      </c>
    </row>
    <row r="38" spans="1:6" x14ac:dyDescent="0.45">
      <c r="A38" s="30">
        <v>40592</v>
      </c>
      <c r="B38">
        <v>15.061870000000001</v>
      </c>
      <c r="C38">
        <v>18.76014</v>
      </c>
      <c r="D38">
        <v>-0.15742298291698176</v>
      </c>
      <c r="F38">
        <v>0</v>
      </c>
    </row>
    <row r="39" spans="1:6" x14ac:dyDescent="0.45">
      <c r="A39" s="30">
        <v>40595</v>
      </c>
      <c r="B39">
        <v>14.970179999999999</v>
      </c>
      <c r="C39">
        <v>18.466439999999999</v>
      </c>
      <c r="D39">
        <v>-0.14301396374145026</v>
      </c>
      <c r="F39">
        <v>0</v>
      </c>
    </row>
    <row r="40" spans="1:6" x14ac:dyDescent="0.45">
      <c r="A40" s="30">
        <v>40596</v>
      </c>
      <c r="B40">
        <v>15.122999999999999</v>
      </c>
      <c r="C40">
        <v>19.751380000000001</v>
      </c>
      <c r="D40">
        <v>-0.22261086317554213</v>
      </c>
      <c r="F40">
        <v>0</v>
      </c>
    </row>
    <row r="41" spans="1:6" x14ac:dyDescent="0.45">
      <c r="A41" s="30">
        <v>40597</v>
      </c>
      <c r="B41">
        <v>15.061870000000001</v>
      </c>
      <c r="C41">
        <v>19.45768</v>
      </c>
      <c r="D41">
        <v>-0.20574634450857543</v>
      </c>
      <c r="F41">
        <v>0</v>
      </c>
    </row>
    <row r="42" spans="1:6" x14ac:dyDescent="0.45">
      <c r="A42" s="30">
        <v>40598</v>
      </c>
      <c r="B42">
        <v>14.93962</v>
      </c>
      <c r="C42">
        <v>18.649999999999999</v>
      </c>
      <c r="D42">
        <v>-0.15480888283704353</v>
      </c>
      <c r="F42">
        <v>0</v>
      </c>
    </row>
    <row r="43" spans="1:6" x14ac:dyDescent="0.45">
      <c r="A43" s="30">
        <v>40599</v>
      </c>
      <c r="B43">
        <v>14.75633</v>
      </c>
      <c r="C43">
        <v>19.09055</v>
      </c>
      <c r="D43">
        <v>-0.20206166124866631</v>
      </c>
      <c r="F43">
        <v>0</v>
      </c>
    </row>
    <row r="44" spans="1:6" x14ac:dyDescent="0.45">
      <c r="A44" s="30">
        <v>40603</v>
      </c>
      <c r="B44">
        <v>14.878579999999999</v>
      </c>
      <c r="C44">
        <v>20.412199999999999</v>
      </c>
      <c r="D44">
        <v>-0.28645718636474848</v>
      </c>
      <c r="F44">
        <v>0</v>
      </c>
    </row>
    <row r="45" spans="1:6" x14ac:dyDescent="0.45">
      <c r="A45" s="30">
        <v>40604</v>
      </c>
      <c r="B45">
        <v>14.725770000000001</v>
      </c>
      <c r="C45">
        <v>20.15522</v>
      </c>
      <c r="D45">
        <v>-0.27997180197695348</v>
      </c>
      <c r="F45">
        <v>0</v>
      </c>
    </row>
    <row r="46" spans="1:6" x14ac:dyDescent="0.45">
      <c r="A46" s="30">
        <v>40605</v>
      </c>
      <c r="B46">
        <v>15.061870000000001</v>
      </c>
      <c r="C46">
        <v>20.00836</v>
      </c>
      <c r="D46">
        <v>-0.24192006308825253</v>
      </c>
      <c r="F46">
        <v>0</v>
      </c>
    </row>
    <row r="47" spans="1:6" x14ac:dyDescent="0.45">
      <c r="A47" s="30">
        <v>40606</v>
      </c>
      <c r="B47">
        <v>15.18404</v>
      </c>
      <c r="C47">
        <v>20.191929999999999</v>
      </c>
      <c r="D47">
        <v>-0.24542856999706419</v>
      </c>
      <c r="F47">
        <v>0</v>
      </c>
    </row>
    <row r="48" spans="1:6" x14ac:dyDescent="0.45">
      <c r="A48" s="30">
        <v>40609</v>
      </c>
      <c r="B48">
        <v>15.214600000000001</v>
      </c>
      <c r="C48">
        <v>19.677949999999999</v>
      </c>
      <c r="D48">
        <v>-0.2045766171103871</v>
      </c>
      <c r="F48">
        <v>0</v>
      </c>
    </row>
    <row r="49" spans="1:6" x14ac:dyDescent="0.45">
      <c r="A49" s="30">
        <v>40610</v>
      </c>
      <c r="B49">
        <v>15.122999999999999</v>
      </c>
      <c r="C49">
        <v>19.494389999999999</v>
      </c>
      <c r="D49">
        <v>-0.19851080119191389</v>
      </c>
      <c r="F49">
        <v>0</v>
      </c>
    </row>
    <row r="50" spans="1:6" x14ac:dyDescent="0.45">
      <c r="A50" s="30">
        <v>40611</v>
      </c>
      <c r="B50">
        <v>14.970179999999999</v>
      </c>
      <c r="C50">
        <v>19.27411</v>
      </c>
      <c r="D50">
        <v>-0.19476123156753511</v>
      </c>
      <c r="F50">
        <v>0</v>
      </c>
    </row>
    <row r="51" spans="1:6" x14ac:dyDescent="0.45">
      <c r="A51" s="30">
        <v>40612</v>
      </c>
      <c r="B51">
        <v>14.93962</v>
      </c>
      <c r="C51">
        <v>18.9437</v>
      </c>
      <c r="D51">
        <v>-0.17272247782299899</v>
      </c>
      <c r="F51">
        <v>0</v>
      </c>
    </row>
    <row r="52" spans="1:6" x14ac:dyDescent="0.45">
      <c r="A52" s="30">
        <v>40613</v>
      </c>
      <c r="B52">
        <v>14.90915</v>
      </c>
      <c r="C52">
        <v>18.723420000000001</v>
      </c>
      <c r="D52">
        <v>-0.15890425099992922</v>
      </c>
      <c r="F52">
        <v>0</v>
      </c>
    </row>
    <row r="53" spans="1:6" x14ac:dyDescent="0.45">
      <c r="A53" s="30">
        <v>40616</v>
      </c>
      <c r="B53">
        <v>14.51191</v>
      </c>
      <c r="C53">
        <v>17.768899999999999</v>
      </c>
      <c r="D53">
        <v>-0.11971158210842314</v>
      </c>
      <c r="F53">
        <v>0</v>
      </c>
    </row>
    <row r="54" spans="1:6" x14ac:dyDescent="0.45">
      <c r="A54" s="30">
        <v>40617</v>
      </c>
      <c r="B54">
        <v>14.175890000000001</v>
      </c>
      <c r="C54">
        <v>16.557379999999998</v>
      </c>
      <c r="D54">
        <v>-5.5262421000234374E-2</v>
      </c>
      <c r="F54">
        <v>0</v>
      </c>
    </row>
    <row r="55" spans="1:6" x14ac:dyDescent="0.45">
      <c r="A55" s="30">
        <v>40618</v>
      </c>
      <c r="B55">
        <v>14.45079</v>
      </c>
      <c r="C55">
        <v>15.67628</v>
      </c>
      <c r="D55">
        <v>3.3381141330456554E-2</v>
      </c>
      <c r="F55">
        <v>0</v>
      </c>
    </row>
    <row r="56" spans="1:6" x14ac:dyDescent="0.45">
      <c r="A56" s="30">
        <v>40619</v>
      </c>
      <c r="B56">
        <v>14.6036</v>
      </c>
      <c r="C56">
        <v>14.611610000000001</v>
      </c>
      <c r="D56">
        <v>0.12652147091699129</v>
      </c>
      <c r="E56" t="s">
        <v>50</v>
      </c>
      <c r="F56">
        <v>-8.0100000000005167E-3</v>
      </c>
    </row>
    <row r="57" spans="1:6" x14ac:dyDescent="0.45">
      <c r="A57" s="30">
        <v>40620</v>
      </c>
      <c r="B57">
        <v>14.542479999999999</v>
      </c>
      <c r="C57">
        <v>15.566140000000001</v>
      </c>
      <c r="D57">
        <v>5.3998657049108889E-2</v>
      </c>
      <c r="F57">
        <v>0</v>
      </c>
    </row>
    <row r="58" spans="1:6" x14ac:dyDescent="0.45">
      <c r="A58" s="30">
        <v>40623</v>
      </c>
      <c r="B58">
        <v>14.69529</v>
      </c>
      <c r="C58">
        <v>15.78642</v>
      </c>
      <c r="D58">
        <v>5.0480186240809521E-2</v>
      </c>
      <c r="F58">
        <v>0</v>
      </c>
    </row>
    <row r="59" spans="1:6" x14ac:dyDescent="0.45">
      <c r="A59" s="30">
        <v>40624</v>
      </c>
      <c r="B59">
        <v>15.03131</v>
      </c>
      <c r="C59">
        <v>15.93327</v>
      </c>
      <c r="D59">
        <v>6.6978097458546104E-2</v>
      </c>
      <c r="F59">
        <v>0</v>
      </c>
    </row>
    <row r="60" spans="1:6" x14ac:dyDescent="0.45">
      <c r="A60" s="30">
        <v>40625</v>
      </c>
      <c r="B60">
        <v>15.24517</v>
      </c>
      <c r="C60">
        <v>17.034649999999999</v>
      </c>
      <c r="D60">
        <v>6.7223958356372737E-3</v>
      </c>
      <c r="F60">
        <v>0</v>
      </c>
    </row>
    <row r="61" spans="1:6" x14ac:dyDescent="0.45">
      <c r="A61" s="30">
        <v>40626</v>
      </c>
      <c r="B61">
        <v>15.24517</v>
      </c>
      <c r="C61">
        <v>16.887789999999999</v>
      </c>
      <c r="D61">
        <v>1.7447409565209737E-2</v>
      </c>
      <c r="F61">
        <v>0</v>
      </c>
    </row>
    <row r="62" spans="1:6" x14ac:dyDescent="0.45">
      <c r="A62" s="30">
        <v>40627</v>
      </c>
      <c r="B62">
        <v>15.275729999999999</v>
      </c>
      <c r="C62">
        <v>16.887789999999999</v>
      </c>
      <c r="D62">
        <v>1.9941346627918355E-2</v>
      </c>
      <c r="F62">
        <v>0</v>
      </c>
    </row>
    <row r="63" spans="1:6" x14ac:dyDescent="0.45">
      <c r="A63" s="30">
        <v>40630</v>
      </c>
      <c r="B63">
        <v>15.33685</v>
      </c>
      <c r="C63">
        <v>17.18149</v>
      </c>
      <c r="D63">
        <v>3.7526462770569591E-3</v>
      </c>
      <c r="F63">
        <v>0</v>
      </c>
    </row>
    <row r="64" spans="1:6" x14ac:dyDescent="0.45">
      <c r="A64" s="30">
        <v>40631</v>
      </c>
      <c r="B64">
        <v>15.214600000000001</v>
      </c>
      <c r="C64">
        <v>17.401769999999999</v>
      </c>
      <c r="D64">
        <v>-2.2186427807317166E-2</v>
      </c>
      <c r="F64">
        <v>0</v>
      </c>
    </row>
    <row r="65" spans="1:6" x14ac:dyDescent="0.45">
      <c r="A65" s="30">
        <v>40632</v>
      </c>
      <c r="B65">
        <v>15.367330000000001</v>
      </c>
      <c r="C65">
        <v>17.034649999999999</v>
      </c>
      <c r="D65">
        <v>1.7200367706035724E-2</v>
      </c>
      <c r="F65">
        <v>0</v>
      </c>
    </row>
    <row r="66" spans="1:6" x14ac:dyDescent="0.45">
      <c r="A66" s="30">
        <v>40633</v>
      </c>
      <c r="B66">
        <v>15.3979</v>
      </c>
      <c r="C66">
        <v>17.18149</v>
      </c>
      <c r="D66">
        <v>9.0686755352422654E-3</v>
      </c>
      <c r="F66">
        <v>0</v>
      </c>
    </row>
    <row r="67" spans="1:6" x14ac:dyDescent="0.45">
      <c r="A67" s="30">
        <v>40634</v>
      </c>
      <c r="B67">
        <v>15.367330000000001</v>
      </c>
      <c r="C67">
        <v>17.254919999999998</v>
      </c>
      <c r="D67">
        <v>1.244029781825029E-3</v>
      </c>
      <c r="F67">
        <v>0</v>
      </c>
    </row>
    <row r="68" spans="1:6" x14ac:dyDescent="0.45">
      <c r="A68" s="30">
        <v>40639</v>
      </c>
      <c r="B68">
        <v>15.459020000000001</v>
      </c>
      <c r="C68">
        <v>17.51191</v>
      </c>
      <c r="D68">
        <v>-9.8276475450995715E-3</v>
      </c>
      <c r="F68">
        <v>0</v>
      </c>
    </row>
    <row r="69" spans="1:6" x14ac:dyDescent="0.45">
      <c r="A69" s="30">
        <v>40640</v>
      </c>
      <c r="B69">
        <v>15.428459999999999</v>
      </c>
      <c r="C69">
        <v>17.585329999999999</v>
      </c>
      <c r="D69">
        <v>-1.7650281838444304E-2</v>
      </c>
      <c r="F69">
        <v>0</v>
      </c>
    </row>
    <row r="70" spans="1:6" x14ac:dyDescent="0.45">
      <c r="A70" s="30">
        <v>40641</v>
      </c>
      <c r="B70">
        <v>15.3979</v>
      </c>
      <c r="C70">
        <v>17.952459999999999</v>
      </c>
      <c r="D70">
        <v>-4.6552009956828178E-2</v>
      </c>
      <c r="F70">
        <v>0</v>
      </c>
    </row>
    <row r="71" spans="1:6" x14ac:dyDescent="0.45">
      <c r="A71" s="30">
        <v>40644</v>
      </c>
      <c r="B71">
        <v>15.15348</v>
      </c>
      <c r="C71">
        <v>17.842320000000001</v>
      </c>
      <c r="D71">
        <v>-5.8650041009504772E-2</v>
      </c>
      <c r="F71">
        <v>0</v>
      </c>
    </row>
    <row r="72" spans="1:6" x14ac:dyDescent="0.45">
      <c r="A72" s="30">
        <v>40645</v>
      </c>
      <c r="B72">
        <v>15.15348</v>
      </c>
      <c r="C72">
        <v>17.32835</v>
      </c>
      <c r="D72">
        <v>-2.0762254787591417E-2</v>
      </c>
      <c r="F72">
        <v>0</v>
      </c>
    </row>
    <row r="73" spans="1:6" x14ac:dyDescent="0.45">
      <c r="A73" s="30">
        <v>40646</v>
      </c>
      <c r="B73">
        <v>15.03131</v>
      </c>
      <c r="C73">
        <v>17.73218</v>
      </c>
      <c r="D73">
        <v>-5.9768851831901282E-2</v>
      </c>
      <c r="F73">
        <v>0</v>
      </c>
    </row>
    <row r="74" spans="1:6" x14ac:dyDescent="0.45">
      <c r="A74" s="30">
        <v>40647</v>
      </c>
      <c r="B74">
        <v>15.00075</v>
      </c>
      <c r="C74">
        <v>18.025880000000001</v>
      </c>
      <c r="D74">
        <v>-8.3414630502371301E-2</v>
      </c>
      <c r="F74">
        <v>0</v>
      </c>
    </row>
    <row r="75" spans="1:6" x14ac:dyDescent="0.45">
      <c r="A75" s="30">
        <v>40648</v>
      </c>
      <c r="B75">
        <v>14.725770000000001</v>
      </c>
      <c r="C75">
        <v>17.401769999999999</v>
      </c>
      <c r="D75">
        <v>-5.9973499895149773E-2</v>
      </c>
      <c r="F75">
        <v>0</v>
      </c>
    </row>
    <row r="76" spans="1:6" x14ac:dyDescent="0.45">
      <c r="A76" s="30">
        <v>40651</v>
      </c>
      <c r="B76">
        <v>14.66473</v>
      </c>
      <c r="C76">
        <v>17.585329999999999</v>
      </c>
      <c r="D76">
        <v>-7.8214104463645295E-2</v>
      </c>
      <c r="F76">
        <v>0</v>
      </c>
    </row>
    <row r="77" spans="1:6" x14ac:dyDescent="0.45">
      <c r="A77" s="30">
        <v>40652</v>
      </c>
      <c r="B77">
        <v>14.51191</v>
      </c>
      <c r="C77">
        <v>17.32835</v>
      </c>
      <c r="D77">
        <v>-7.1979082866211019E-2</v>
      </c>
      <c r="F77">
        <v>0</v>
      </c>
    </row>
    <row r="78" spans="1:6" x14ac:dyDescent="0.45">
      <c r="A78" s="30">
        <v>40653</v>
      </c>
      <c r="B78">
        <v>15.214600000000001</v>
      </c>
      <c r="C78">
        <v>17.401769999999999</v>
      </c>
      <c r="D78">
        <v>-2.1266073733254176E-2</v>
      </c>
      <c r="F78">
        <v>0</v>
      </c>
    </row>
    <row r="79" spans="1:6" x14ac:dyDescent="0.45">
      <c r="A79" s="30">
        <v>40654</v>
      </c>
      <c r="B79">
        <v>16.039549999999998</v>
      </c>
      <c r="C79">
        <v>18.613289999999999</v>
      </c>
      <c r="D79">
        <v>-4.0692507573940162E-2</v>
      </c>
      <c r="F79">
        <v>0</v>
      </c>
    </row>
    <row r="80" spans="1:6" x14ac:dyDescent="0.45">
      <c r="A80" s="30">
        <v>40655</v>
      </c>
      <c r="B80">
        <v>15.97842</v>
      </c>
      <c r="C80">
        <v>19.567810000000001</v>
      </c>
      <c r="D80">
        <v>-0.11304944855416021</v>
      </c>
      <c r="F80">
        <v>0</v>
      </c>
    </row>
    <row r="81" spans="1:6" x14ac:dyDescent="0.45">
      <c r="A81" s="30">
        <v>40658</v>
      </c>
      <c r="B81">
        <v>16.222840000000001</v>
      </c>
      <c r="C81">
        <v>19.567810000000001</v>
      </c>
      <c r="D81">
        <v>-9.329254175205226E-2</v>
      </c>
      <c r="F81">
        <v>0</v>
      </c>
    </row>
    <row r="82" spans="1:6" x14ac:dyDescent="0.45">
      <c r="A82" s="30">
        <v>40659</v>
      </c>
      <c r="B82">
        <v>15.97842</v>
      </c>
      <c r="C82">
        <v>19.567810000000001</v>
      </c>
      <c r="D82">
        <v>-0.11334937942038903</v>
      </c>
      <c r="F82">
        <v>0</v>
      </c>
    </row>
    <row r="83" spans="1:6" x14ac:dyDescent="0.45">
      <c r="A83" s="30">
        <v>40660</v>
      </c>
      <c r="B83">
        <v>16.344999999999999</v>
      </c>
      <c r="C83">
        <v>20.081790000000002</v>
      </c>
      <c r="D83">
        <v>-0.12050984266873166</v>
      </c>
      <c r="F83">
        <v>0</v>
      </c>
    </row>
    <row r="84" spans="1:6" x14ac:dyDescent="0.45">
      <c r="A84" s="30">
        <v>40661</v>
      </c>
      <c r="B84">
        <v>16.406130000000001</v>
      </c>
      <c r="C84">
        <v>20.559049999999999</v>
      </c>
      <c r="D84">
        <v>-0.14962669636001502</v>
      </c>
      <c r="F84">
        <v>0</v>
      </c>
    </row>
    <row r="85" spans="1:6" x14ac:dyDescent="0.45">
      <c r="A85" s="30">
        <v>40662</v>
      </c>
      <c r="B85">
        <v>16.222840000000001</v>
      </c>
      <c r="C85">
        <v>19.8248</v>
      </c>
      <c r="D85">
        <v>-0.11061803440924578</v>
      </c>
      <c r="F85">
        <v>0</v>
      </c>
    </row>
    <row r="86" spans="1:6" x14ac:dyDescent="0.45">
      <c r="A86" s="30">
        <v>40666</v>
      </c>
      <c r="B86">
        <v>16.131150000000002</v>
      </c>
      <c r="C86">
        <v>20.779330000000002</v>
      </c>
      <c r="D86">
        <v>-0.18540586687931837</v>
      </c>
      <c r="F86">
        <v>0</v>
      </c>
    </row>
    <row r="87" spans="1:6" x14ac:dyDescent="0.45">
      <c r="A87" s="30">
        <v>40667</v>
      </c>
      <c r="B87">
        <v>16.28396</v>
      </c>
      <c r="C87">
        <v>20.779330000000002</v>
      </c>
      <c r="D87">
        <v>-0.17302537431830922</v>
      </c>
      <c r="F87">
        <v>0</v>
      </c>
    </row>
    <row r="88" spans="1:6" x14ac:dyDescent="0.45">
      <c r="A88" s="30">
        <v>40668</v>
      </c>
      <c r="B88">
        <v>16.37557</v>
      </c>
      <c r="C88">
        <v>20.85275</v>
      </c>
      <c r="D88">
        <v>-0.17087475836730559</v>
      </c>
      <c r="F88">
        <v>0</v>
      </c>
    </row>
    <row r="89" spans="1:6" x14ac:dyDescent="0.45">
      <c r="A89" s="30">
        <v>40669</v>
      </c>
      <c r="B89">
        <v>16.07002</v>
      </c>
      <c r="C89">
        <v>20.302070000000001</v>
      </c>
      <c r="D89">
        <v>-0.15573445896226779</v>
      </c>
      <c r="F89">
        <v>0</v>
      </c>
    </row>
    <row r="90" spans="1:6" x14ac:dyDescent="0.45">
      <c r="A90" s="30">
        <v>40672</v>
      </c>
      <c r="B90">
        <v>16.222840000000001</v>
      </c>
      <c r="C90">
        <v>20.045079999999999</v>
      </c>
      <c r="D90">
        <v>-0.12471197643799226</v>
      </c>
      <c r="F90">
        <v>0</v>
      </c>
    </row>
    <row r="91" spans="1:6" x14ac:dyDescent="0.45">
      <c r="A91" s="30">
        <v>40673</v>
      </c>
      <c r="B91">
        <v>16.222840000000001</v>
      </c>
      <c r="C91">
        <v>19.898230000000002</v>
      </c>
      <c r="D91">
        <v>-0.11408762913898718</v>
      </c>
      <c r="F91">
        <v>0</v>
      </c>
    </row>
    <row r="92" spans="1:6" x14ac:dyDescent="0.45">
      <c r="A92" s="30">
        <v>40674</v>
      </c>
      <c r="B92">
        <v>16.10059</v>
      </c>
      <c r="C92">
        <v>19.017119999999998</v>
      </c>
      <c r="D92">
        <v>-5.9113474685055678E-2</v>
      </c>
      <c r="F92">
        <v>0</v>
      </c>
    </row>
    <row r="93" spans="1:6" x14ac:dyDescent="0.45">
      <c r="A93" s="30">
        <v>40675</v>
      </c>
      <c r="B93">
        <v>15.917289999999999</v>
      </c>
      <c r="C93">
        <v>19.017119999999998</v>
      </c>
      <c r="D93">
        <v>-7.4115355206109568E-2</v>
      </c>
      <c r="F93">
        <v>0</v>
      </c>
    </row>
    <row r="94" spans="1:6" x14ac:dyDescent="0.45">
      <c r="A94" s="30">
        <v>40676</v>
      </c>
      <c r="B94">
        <v>16.222840000000001</v>
      </c>
      <c r="C94">
        <v>19.017119999999998</v>
      </c>
      <c r="D94">
        <v>-4.9488017892801439E-2</v>
      </c>
      <c r="F94">
        <v>0</v>
      </c>
    </row>
    <row r="95" spans="1:6" x14ac:dyDescent="0.45">
      <c r="A95" s="30">
        <v>40679</v>
      </c>
      <c r="B95">
        <v>15.97842</v>
      </c>
      <c r="C95">
        <v>18.870270000000001</v>
      </c>
      <c r="D95">
        <v>-5.8909589389809947E-2</v>
      </c>
      <c r="F95">
        <v>0</v>
      </c>
    </row>
    <row r="96" spans="1:6" x14ac:dyDescent="0.45">
      <c r="A96" s="30">
        <v>40680</v>
      </c>
      <c r="B96">
        <v>15.79513</v>
      </c>
      <c r="C96">
        <v>19.163979999999999</v>
      </c>
      <c r="D96">
        <v>-9.4890891053205362E-2</v>
      </c>
      <c r="F96">
        <v>0</v>
      </c>
    </row>
    <row r="97" spans="1:6" x14ac:dyDescent="0.45">
      <c r="A97" s="30">
        <v>40681</v>
      </c>
      <c r="B97">
        <v>15.764559999999999</v>
      </c>
      <c r="C97">
        <v>19.09055</v>
      </c>
      <c r="D97">
        <v>-9.2083234189712648E-2</v>
      </c>
      <c r="F97">
        <v>0</v>
      </c>
    </row>
    <row r="98" spans="1:6" x14ac:dyDescent="0.45">
      <c r="A98" s="30">
        <v>40682</v>
      </c>
      <c r="B98">
        <v>15.88673</v>
      </c>
      <c r="C98">
        <v>18.57657</v>
      </c>
      <c r="D98">
        <v>-4.4673524793543917E-2</v>
      </c>
      <c r="F98">
        <v>0</v>
      </c>
    </row>
    <row r="99" spans="1:6" x14ac:dyDescent="0.45">
      <c r="A99" s="30">
        <v>40683</v>
      </c>
      <c r="B99">
        <v>15.64231</v>
      </c>
      <c r="C99">
        <v>17.842320000000001</v>
      </c>
      <c r="D99">
        <v>-1.0795066281365617E-2</v>
      </c>
      <c r="F99">
        <v>0</v>
      </c>
    </row>
    <row r="100" spans="1:6" x14ac:dyDescent="0.45">
      <c r="A100" s="30">
        <v>40686</v>
      </c>
      <c r="B100">
        <v>15.214600000000001</v>
      </c>
      <c r="C100">
        <v>17.254919999999998</v>
      </c>
      <c r="D100">
        <v>-3.1162346635793536E-3</v>
      </c>
      <c r="F100">
        <v>0</v>
      </c>
    </row>
    <row r="101" spans="1:6" x14ac:dyDescent="0.45">
      <c r="A101" s="30">
        <v>40687</v>
      </c>
      <c r="B101">
        <v>15.09244</v>
      </c>
      <c r="C101">
        <v>17.401769999999999</v>
      </c>
      <c r="D101">
        <v>-2.3596331094256628E-2</v>
      </c>
      <c r="F101">
        <v>0</v>
      </c>
    </row>
    <row r="102" spans="1:6" x14ac:dyDescent="0.45">
      <c r="A102" s="30">
        <v>40688</v>
      </c>
      <c r="B102">
        <v>14.75633</v>
      </c>
      <c r="C102">
        <v>17.51191</v>
      </c>
      <c r="D102">
        <v>-5.9119152563879673E-2</v>
      </c>
      <c r="F102">
        <v>0</v>
      </c>
    </row>
    <row r="103" spans="1:6" x14ac:dyDescent="0.45">
      <c r="A103" s="30">
        <v>40689</v>
      </c>
      <c r="B103">
        <v>14.817460000000001</v>
      </c>
      <c r="C103">
        <v>17.842320000000001</v>
      </c>
      <c r="D103">
        <v>-7.7683514985239732E-2</v>
      </c>
      <c r="F103">
        <v>0</v>
      </c>
    </row>
    <row r="104" spans="1:6" x14ac:dyDescent="0.45">
      <c r="A104" s="30">
        <v>40690</v>
      </c>
      <c r="B104">
        <v>14.878579999999999</v>
      </c>
      <c r="C104">
        <v>17.768899999999999</v>
      </c>
      <c r="D104">
        <v>-6.744030990199823E-2</v>
      </c>
      <c r="F104">
        <v>0</v>
      </c>
    </row>
    <row r="105" spans="1:6" x14ac:dyDescent="0.45">
      <c r="A105" s="30">
        <v>40693</v>
      </c>
      <c r="B105">
        <v>14.725770000000001</v>
      </c>
      <c r="C105">
        <v>18.24616</v>
      </c>
      <c r="D105">
        <v>-0.11376151342110519</v>
      </c>
      <c r="F105">
        <v>0</v>
      </c>
    </row>
    <row r="106" spans="1:6" x14ac:dyDescent="0.45">
      <c r="A106" s="30">
        <v>40694</v>
      </c>
      <c r="B106">
        <v>15.061870000000001</v>
      </c>
      <c r="C106">
        <v>18.42972</v>
      </c>
      <c r="D106">
        <v>-9.9872331929974134E-2</v>
      </c>
      <c r="F106">
        <v>0</v>
      </c>
    </row>
    <row r="107" spans="1:6" x14ac:dyDescent="0.45">
      <c r="A107" s="30">
        <v>40695</v>
      </c>
      <c r="B107">
        <v>15.214600000000001</v>
      </c>
      <c r="C107">
        <v>18.20945</v>
      </c>
      <c r="D107">
        <v>-7.161085740824169E-2</v>
      </c>
      <c r="F107">
        <v>0</v>
      </c>
    </row>
    <row r="108" spans="1:6" x14ac:dyDescent="0.45">
      <c r="A108" s="30">
        <v>40696</v>
      </c>
      <c r="B108">
        <v>15.03131</v>
      </c>
      <c r="C108">
        <v>18.24616</v>
      </c>
      <c r="D108">
        <v>-8.9226076489616668E-2</v>
      </c>
      <c r="F108">
        <v>0</v>
      </c>
    </row>
    <row r="109" spans="1:6" x14ac:dyDescent="0.45">
      <c r="A109" s="30">
        <v>40697</v>
      </c>
      <c r="B109">
        <v>15.03131</v>
      </c>
      <c r="C109">
        <v>18.282869999999999</v>
      </c>
      <c r="D109">
        <v>-9.1859728046357336E-2</v>
      </c>
      <c r="F109">
        <v>0</v>
      </c>
    </row>
    <row r="110" spans="1:6" x14ac:dyDescent="0.45">
      <c r="A110" s="30">
        <v>40701</v>
      </c>
      <c r="B110">
        <v>15.09244</v>
      </c>
      <c r="C110">
        <v>18.90699</v>
      </c>
      <c r="D110">
        <v>-0.13097630337398858</v>
      </c>
      <c r="F110">
        <v>0</v>
      </c>
    </row>
    <row r="111" spans="1:6" x14ac:dyDescent="0.45">
      <c r="A111" s="30">
        <v>40702</v>
      </c>
      <c r="B111">
        <v>15.061870000000001</v>
      </c>
      <c r="C111">
        <v>20.228639999999999</v>
      </c>
      <c r="D111">
        <v>-0.22515434126504763</v>
      </c>
      <c r="F111">
        <v>0</v>
      </c>
    </row>
    <row r="112" spans="1:6" x14ac:dyDescent="0.45">
      <c r="A112" s="30">
        <v>40703</v>
      </c>
      <c r="B112">
        <v>15.09244</v>
      </c>
      <c r="C112">
        <v>20.228639999999999</v>
      </c>
      <c r="D112">
        <v>-0.22267344987216497</v>
      </c>
      <c r="F112">
        <v>0</v>
      </c>
    </row>
    <row r="113" spans="1:6" x14ac:dyDescent="0.45">
      <c r="A113" s="30">
        <v>40704</v>
      </c>
      <c r="B113">
        <v>14.90915</v>
      </c>
      <c r="C113">
        <v>21.256589999999999</v>
      </c>
      <c r="D113">
        <v>-0.30946455046299426</v>
      </c>
      <c r="F113">
        <v>0</v>
      </c>
    </row>
    <row r="114" spans="1:6" x14ac:dyDescent="0.45">
      <c r="A114" s="30">
        <v>40707</v>
      </c>
      <c r="B114">
        <v>14.573040000000001</v>
      </c>
      <c r="C114">
        <v>21.697140000000001</v>
      </c>
      <c r="D114">
        <v>-0.36827101319975508</v>
      </c>
      <c r="F114">
        <v>0</v>
      </c>
    </row>
    <row r="115" spans="1:6" x14ac:dyDescent="0.45">
      <c r="A115" s="30">
        <v>40708</v>
      </c>
      <c r="B115">
        <v>14.6036</v>
      </c>
      <c r="C115">
        <v>21.73386</v>
      </c>
      <c r="D115">
        <v>-0.36841578045484447</v>
      </c>
      <c r="F115">
        <v>0</v>
      </c>
    </row>
    <row r="116" spans="1:6" x14ac:dyDescent="0.45">
      <c r="A116" s="30">
        <v>40709</v>
      </c>
      <c r="B116">
        <v>14.35918</v>
      </c>
      <c r="C116">
        <v>22.027560000000001</v>
      </c>
      <c r="D116">
        <v>-0.40929695517409237</v>
      </c>
      <c r="F116">
        <v>0</v>
      </c>
    </row>
    <row r="117" spans="1:6" x14ac:dyDescent="0.45">
      <c r="A117" s="30">
        <v>40710</v>
      </c>
      <c r="B117">
        <v>13.96204</v>
      </c>
      <c r="C117">
        <v>21.18317</v>
      </c>
      <c r="D117">
        <v>-0.38042660773092773</v>
      </c>
      <c r="F117">
        <v>0</v>
      </c>
    </row>
    <row r="118" spans="1:6" x14ac:dyDescent="0.45">
      <c r="A118" s="30">
        <v>40711</v>
      </c>
      <c r="B118">
        <v>14.05364</v>
      </c>
      <c r="C118">
        <v>21.18317</v>
      </c>
      <c r="D118">
        <v>-0.37301620909053157</v>
      </c>
      <c r="F118">
        <v>0</v>
      </c>
    </row>
    <row r="119" spans="1:6" x14ac:dyDescent="0.45">
      <c r="A119" s="30">
        <v>40714</v>
      </c>
      <c r="B119">
        <v>13.87035</v>
      </c>
      <c r="C119">
        <v>21.770569999999999</v>
      </c>
      <c r="D119">
        <v>-0.42939187846990423</v>
      </c>
      <c r="F119">
        <v>0</v>
      </c>
    </row>
    <row r="120" spans="1:6" x14ac:dyDescent="0.45">
      <c r="A120" s="30">
        <v>40715</v>
      </c>
      <c r="B120">
        <v>13.96204</v>
      </c>
      <c r="C120">
        <v>20.375489999999999</v>
      </c>
      <c r="D120">
        <v>-0.31898977046773225</v>
      </c>
      <c r="F120">
        <v>0</v>
      </c>
    </row>
    <row r="121" spans="1:6" x14ac:dyDescent="0.45">
      <c r="A121" s="30">
        <v>40716</v>
      </c>
      <c r="B121">
        <v>14.328620000000001</v>
      </c>
      <c r="C121">
        <v>20.999610000000001</v>
      </c>
      <c r="D121">
        <v>-0.33343466950062117</v>
      </c>
      <c r="F121">
        <v>0</v>
      </c>
    </row>
    <row r="122" spans="1:6" x14ac:dyDescent="0.45">
      <c r="A122" s="30">
        <v>40717</v>
      </c>
      <c r="B122">
        <v>14.26749</v>
      </c>
      <c r="C122">
        <v>20.559049999999999</v>
      </c>
      <c r="D122">
        <v>-0.30668805875938876</v>
      </c>
      <c r="F122">
        <v>0</v>
      </c>
    </row>
    <row r="123" spans="1:6" x14ac:dyDescent="0.45">
      <c r="A123" s="30">
        <v>40718</v>
      </c>
      <c r="B123">
        <v>14.29806</v>
      </c>
      <c r="C123">
        <v>20.632480000000001</v>
      </c>
      <c r="D123">
        <v>-0.3094308440781719</v>
      </c>
      <c r="F123">
        <v>0</v>
      </c>
    </row>
    <row r="124" spans="1:6" x14ac:dyDescent="0.45">
      <c r="A124" s="30">
        <v>40721</v>
      </c>
      <c r="B124">
        <v>14.328620000000001</v>
      </c>
      <c r="C124">
        <v>21.16938</v>
      </c>
      <c r="D124">
        <v>-0.34470157786694089</v>
      </c>
      <c r="F124">
        <v>0</v>
      </c>
    </row>
    <row r="125" spans="1:6" x14ac:dyDescent="0.45">
      <c r="A125" s="30">
        <v>40722</v>
      </c>
      <c r="B125">
        <v>14.26749</v>
      </c>
      <c r="C125">
        <v>20.747530000000001</v>
      </c>
      <c r="D125">
        <v>-0.31933506234235143</v>
      </c>
      <c r="F125">
        <v>0</v>
      </c>
    </row>
    <row r="126" spans="1:6" x14ac:dyDescent="0.45">
      <c r="A126" s="30">
        <v>40723</v>
      </c>
      <c r="B126">
        <v>14.35918</v>
      </c>
      <c r="C126">
        <v>21.782990000000002</v>
      </c>
      <c r="D126">
        <v>-0.38384345164988409</v>
      </c>
      <c r="F126">
        <v>0</v>
      </c>
    </row>
    <row r="127" spans="1:6" x14ac:dyDescent="0.45">
      <c r="A127" s="30">
        <v>40724</v>
      </c>
      <c r="B127">
        <v>14.51191</v>
      </c>
      <c r="C127">
        <v>22.089790000000001</v>
      </c>
      <c r="D127">
        <v>-0.39317935352761513</v>
      </c>
      <c r="E127" t="s">
        <v>51</v>
      </c>
      <c r="F127">
        <v>7.5778800000000004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4</vt:i4>
      </vt:variant>
    </vt:vector>
  </HeadingPairs>
  <TitlesOfParts>
    <vt:vector size="8" baseType="lpstr">
      <vt:lpstr>配對形成期</vt:lpstr>
      <vt:lpstr>策略執行結果</vt:lpstr>
      <vt:lpstr>VBA input data</vt:lpstr>
      <vt:lpstr>VBA back testing</vt:lpstr>
      <vt:lpstr>mean</vt:lpstr>
      <vt:lpstr>name1</vt:lpstr>
      <vt:lpstr>name2</vt:lpstr>
      <vt:lpstr>stdev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Eugene</cp:lastModifiedBy>
  <dcterms:created xsi:type="dcterms:W3CDTF">2015-08-12T01:24:58Z</dcterms:created>
  <dcterms:modified xsi:type="dcterms:W3CDTF">2017-07-07T08:36:12Z</dcterms:modified>
</cp:coreProperties>
</file>